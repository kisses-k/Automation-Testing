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Page" sheetId="1" r:id="rId5"/>
    <sheet state="visible" name="Dashboard" sheetId="2" r:id="rId6"/>
    <sheet state="visible" name="PG-US-01" sheetId="3" r:id="rId7"/>
    <sheet state="visible" name="PG-US-02" sheetId="4" r:id="rId8"/>
    <sheet state="visible" name="PG-US-03" sheetId="5" r:id="rId9"/>
    <sheet state="visible" name="PG-US-04" sheetId="6" r:id="rId10"/>
    <sheet state="visible" name="PG-US-05" sheetId="7" r:id="rId11"/>
    <sheet state="visible" name="PG-US-06" sheetId="8" r:id="rId12"/>
    <sheet state="visible" name="PG-US-07" sheetId="9" r:id="rId13"/>
    <sheet state="visible" name="PG-US-08" sheetId="10" r:id="rId14"/>
    <sheet state="visible" name="PG-US-09" sheetId="11" r:id="rId15"/>
    <sheet state="visible" name="PG-US-10" sheetId="12" r:id="rId16"/>
    <sheet state="visible" name="PG-US-11" sheetId="13" r:id="rId17"/>
    <sheet state="visible" name="PG-US-12" sheetId="14" r:id="rId18"/>
    <sheet state="visible" name="PG-US-13" sheetId="15" r:id="rId19"/>
    <sheet state="visible" name="PG-US-14" sheetId="16" r:id="rId20"/>
    <sheet state="visible" name="PG-US-15" sheetId="17" r:id="rId21"/>
    <sheet state="visible" name="PG-US-16" sheetId="18" r:id="rId22"/>
    <sheet state="visible" name="PG-US-17" sheetId="19" r:id="rId23"/>
    <sheet state="visible" name="AO-US-01" sheetId="20" r:id="rId24"/>
    <sheet state="visible" name="AO-US-02" sheetId="21" r:id="rId25"/>
    <sheet state="visible" name="AO-US-03" sheetId="22" r:id="rId2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tc={dce398c2-473f-4585-abc1-90d8b6438d71}</author>
  </authors>
  <commentList>
    <comment authorId="0" xr:uid="{dce398c2-473f-4585-abc1-90d8b6438d71}" ref="E41">
      <text>
        <t xml:space="preserve">[Threaded comment]
 Your version of Excel allows you to read this threaded comment; however, any edits to it will get removed if the file is opened in a newer version of Excel. Learn more: https://go.microsoft.com/fwlink/?linkid=870924
Comment:
	Removed line re: confirmation message, not included in requirements.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tc={c0404e80-757f-4362-b231-e8f43045246c}</author>
  </authors>
  <commentList>
    <comment authorId="0" xr:uid="{c0404e80-757f-4362-b231-e8f43045246c}" ref="E55">
      <text>
        <t xml:space="preserve">[Threaded comment]
 Your version of Excel allows you to read this threaded comment; however, any edits to it will get removed if the file is opened in a newer version of Excel. Learn more: https://go.microsoft.com/fwlink/?linkid=870924
Comment:
	Removed line re: confirmation message, not included in initial requirements.
</t>
      </text>
    </comment>
  </commentList>
</comments>
</file>

<file path=xl/sharedStrings.xml><?xml version="1.0" encoding="utf-8"?>
<sst xmlns="http://schemas.openxmlformats.org/spreadsheetml/2006/main" count="6859" uniqueCount="1500">
  <si>
    <t>r</t>
  </si>
  <si>
    <t xml:space="preserve">               TEST CASES</t>
  </si>
  <si>
    <t>Project Title</t>
  </si>
  <si>
    <t xml:space="preserve">  Sta Rosa Payment Portal Phase 2</t>
  </si>
  <si>
    <t>Project Manager</t>
  </si>
  <si>
    <t xml:space="preserve">  Justin Orolfo</t>
  </si>
  <si>
    <t>Project Start Date</t>
  </si>
  <si>
    <t>Project End Date</t>
  </si>
  <si>
    <t>Project Client</t>
  </si>
  <si>
    <t xml:space="preserve">  SMSGT</t>
  </si>
  <si>
    <t>Introduction</t>
  </si>
  <si>
    <t>This document outlines a set of test cases for Phase 2 of the City Government of Santa Rosa's Online Payment Portal. These test cases are derived from the Business Requirements Document (BRD) and Functional Requirements Document (FRD) and aim to verify that the new functionalities for the City Health Office (CHO I and II) and the Assessor’s Office meet the specified requirements and perform as expected</t>
  </si>
  <si>
    <t>Test Case Structure</t>
  </si>
  <si>
    <t>Each test case will follow the structure below:</t>
  </si>
  <si>
    <t>Test Case ID</t>
  </si>
  <si>
    <t>Unique identifier for the test case (e.g., TC-UI-001).</t>
  </si>
  <si>
    <t>Test Objective</t>
  </si>
  <si>
    <t>A clear statement of what is being tested.</t>
  </si>
  <si>
    <t>Preconditions</t>
  </si>
  <si>
    <t>Any prerequisites that must be met before executing the test case.</t>
  </si>
  <si>
    <t>Test Steps</t>
  </si>
  <si>
    <t>A detailed, step-by-step procedure to execute the test.</t>
  </si>
  <si>
    <t>Expected Result</t>
  </si>
  <si>
    <t>The anticipated outcome if the system is functioning correctly.</t>
  </si>
  <si>
    <t>Status</t>
  </si>
  <si>
    <t>(To be filled during testing: Pass/Fail/Blocked/N/A)</t>
  </si>
  <si>
    <t>Comments</t>
  </si>
  <si>
    <t>(Any relevant notes or observations during testing)</t>
  </si>
  <si>
    <t>Total Outstanding</t>
  </si>
  <si>
    <t>TOTAL</t>
  </si>
  <si>
    <t>PG-US-01</t>
  </si>
  <si>
    <t>PG-US-02</t>
  </si>
  <si>
    <t>PG-US-03</t>
  </si>
  <si>
    <t>PG-US-04</t>
  </si>
  <si>
    <t>PG-US-05</t>
  </si>
  <si>
    <t>PG-US-06</t>
  </si>
  <si>
    <t>PG-US-07</t>
  </si>
  <si>
    <t>PG-US-08</t>
  </si>
  <si>
    <t>PG-US-09</t>
  </si>
  <si>
    <t>PG-US-10</t>
  </si>
  <si>
    <t>PG-US-11</t>
  </si>
  <si>
    <t>PG-US-12</t>
  </si>
  <si>
    <t>PG-US-13</t>
  </si>
  <si>
    <t>PG-US-14</t>
  </si>
  <si>
    <t>PG-US-15</t>
  </si>
  <si>
    <t>PG-US-16</t>
  </si>
  <si>
    <t>PG-US-17</t>
  </si>
  <si>
    <t>AO-US-01</t>
  </si>
  <si>
    <t>AO-US-02</t>
  </si>
  <si>
    <t>AO-US-03</t>
  </si>
  <si>
    <t>OPEN</t>
  </si>
  <si>
    <t>FAILED</t>
  </si>
  <si>
    <t>BLOCKED</t>
  </si>
  <si>
    <t>PASSED</t>
  </si>
  <si>
    <t>PROGRESS TRACKER</t>
  </si>
  <si>
    <t>Comment</t>
  </si>
  <si>
    <t>US-TC-01</t>
  </si>
  <si>
    <t>US-TC-02</t>
  </si>
  <si>
    <t>It accepts contact numbers that start with '09', but it also accepts inputs even if all the characters are not numeric.</t>
  </si>
  <si>
    <t>suggestion to match ticket ID with user portal's ticket ID</t>
  </si>
  <si>
    <t>US-TC-03</t>
  </si>
  <si>
    <t>It accepts contact numbers that start with '639', but it also accepts inputs even if all the characters are not numeric.</t>
  </si>
  <si>
    <t>works and displays "No data available in table"
but if there is no data to be shown, does the year filter drop down become disabled/unclickable?
if the drop down only visible IF there's records in the history database?</t>
  </si>
  <si>
    <t>US-TC-04</t>
  </si>
  <si>
    <t>US-TC-05</t>
  </si>
  <si>
    <t>US-TC-06</t>
  </si>
  <si>
    <t>triggers T&amp;C validation but button does not disable</t>
  </si>
  <si>
    <t>allows me to select future dates past current date</t>
  </si>
  <si>
    <t>working - however, email received display the ticket ID system of CMS which does not correspond to the ticket ID shown to users, potentially creating confusion whenever getting email notifications
setting this to "failed' status to bring this detail to attention</t>
  </si>
  <si>
    <t>US-TC-07</t>
  </si>
  <si>
    <t>US-TC-08</t>
  </si>
  <si>
    <t>US-TC-09</t>
  </si>
  <si>
    <t>US-TC-10</t>
  </si>
  <si>
    <t>only tested with invalid format but unable to test "unreadable/corrupted"</t>
  </si>
  <si>
    <t>export feature not found
Hannah: The export feature is located below the table. 
edit: noted thank you</t>
  </si>
  <si>
    <t>US-TC-11</t>
  </si>
  <si>
    <t>US-TC-12</t>
  </si>
  <si>
    <t>validation is displayed only if submitted without following certain requirements. will only show them one by one and not simultaneously</t>
  </si>
  <si>
    <t>US-TC-13</t>
  </si>
  <si>
    <t>feature not implemented or N/A</t>
  </si>
  <si>
    <t>N/A or feature not implemented</t>
  </si>
  <si>
    <t>US-TC-14</t>
  </si>
  <si>
    <t>validation not triggered when submitting with only letters</t>
  </si>
  <si>
    <t>US-TC-15</t>
  </si>
  <si>
    <t>validation not triggered when submitting with future date</t>
  </si>
  <si>
    <t>US-TC-16</t>
  </si>
  <si>
    <t>US-TC-17</t>
  </si>
  <si>
    <t>US-TC-18</t>
  </si>
  <si>
    <t>currently no record long enough to check at the moment</t>
  </si>
  <si>
    <t>US-TC-19</t>
  </si>
  <si>
    <t>file fields are disabled even if draft status?</t>
  </si>
  <si>
    <t>US-TC-20</t>
  </si>
  <si>
    <t>page crashes when attempting to change status to "certificate claimed"
BadMethodCallException
Call to undefined method App\Models\Certificate::getCertificateTypeText()</t>
  </si>
  <si>
    <t>US-TC-21</t>
  </si>
  <si>
    <t>US-TC-22</t>
  </si>
  <si>
    <t>US-TC-23</t>
  </si>
  <si>
    <t>US-TC-24</t>
  </si>
  <si>
    <t>US-TC-25</t>
  </si>
  <si>
    <t>"certificate claimed" affected by page breaking from bug</t>
  </si>
  <si>
    <t>US-TC-26</t>
  </si>
  <si>
    <t>note field working - however entered text does not reflect in email sent to requestor</t>
  </si>
  <si>
    <t>US-TC-27</t>
  </si>
  <si>
    <t>US-TC-28</t>
  </si>
  <si>
    <t>US-TC-29</t>
  </si>
  <si>
    <t>US-TC-30</t>
  </si>
  <si>
    <t>US-TC-31</t>
  </si>
  <si>
    <t>primary function to save draft is working
"failed" - however there was no confirmation message displayed, only redirect to dashboard
unless "confirmation message" = status update?
correct status displayed</t>
  </si>
  <si>
    <t>US-TC-32</t>
  </si>
  <si>
    <t>primary function to submit application working
"failed" - however there was no confirmation message displayed, only redirect to dashboard
unless "confirmation message" = status update?
correct status displayed</t>
  </si>
  <si>
    <t>US-TC-33</t>
  </si>
  <si>
    <t>REQUEST</t>
  </si>
  <si>
    <t>when submitting application and triggering an error validation, page shoots back up to the top. hopefully can adjust to staying in current view/position on the page instead of having to scroll all the way down again</t>
  </si>
  <si>
    <t>US-TC-34</t>
  </si>
  <si>
    <t>US-TC-35</t>
  </si>
  <si>
    <t>US-TC-36</t>
  </si>
  <si>
    <t>US-TC-37</t>
  </si>
  <si>
    <t>US-TC-38</t>
  </si>
  <si>
    <t>US-TC-39</t>
  </si>
  <si>
    <t>No confirmation message displayed</t>
  </si>
  <si>
    <t>US-TC-40</t>
  </si>
  <si>
    <t>US-TC-41</t>
  </si>
  <si>
    <t>CLARIFICATION</t>
  </si>
  <si>
    <t>US-TC-42</t>
  </si>
  <si>
    <t>US-TC-43</t>
  </si>
  <si>
    <t>primary function to save as draft working
"failed" - however there was no confirmation message displayed, only redirect to dashboard
unless "confirmation message" = status update?
correct status displayed</t>
  </si>
  <si>
    <t>US-TC-44</t>
  </si>
  <si>
    <t>US-TC-45</t>
  </si>
  <si>
    <t>US-TC-46</t>
  </si>
  <si>
    <t>US-TC-47</t>
  </si>
  <si>
    <t>US-TC-48</t>
  </si>
  <si>
    <t>no email &amp; sms received by requestor
no email received by admin</t>
  </si>
  <si>
    <t>US-TC-49</t>
  </si>
  <si>
    <t>same as requesting for "Draft" status removal from admin databse, including removing email template</t>
  </si>
  <si>
    <t>US-TC-50</t>
  </si>
  <si>
    <t>no email &amp; sms received by requestor</t>
  </si>
  <si>
    <t>US-TC-51</t>
  </si>
  <si>
    <t xml:space="preserve">no SMS and email received by requestor
no admin email </t>
  </si>
  <si>
    <t>US-TC-52</t>
  </si>
  <si>
    <t>primary function to save draft is working
"failed" - however there was no confirmation message displayed, only redirect to dashboard
correct status displayed</t>
  </si>
  <si>
    <t>received email but text provided by admin for "reason for revision" and "author's notes" not showing in email and sms</t>
  </si>
  <si>
    <t>US-TC-53</t>
  </si>
  <si>
    <t>primary function to submit application working
"failed" - however there was no confirmation message displayed, only redirect to dashboard
correct status displayed</t>
  </si>
  <si>
    <t>US-TC-54</t>
  </si>
  <si>
    <t>email working but no SMS</t>
  </si>
  <si>
    <t>US-TC-55</t>
  </si>
  <si>
    <t>working - but reason for revision &amp; admin notes not displayed</t>
  </si>
  <si>
    <t>US-TC-56</t>
  </si>
  <si>
    <t>US-TC-57</t>
  </si>
  <si>
    <t>no SMS received</t>
  </si>
  <si>
    <t>US-TC-58</t>
  </si>
  <si>
    <t>US-TC-59</t>
  </si>
  <si>
    <t>works but validation displayed is standard " This field is required." which is fine
submission is blocked unless checkbox is seleted</t>
  </si>
  <si>
    <t>US-TC-60</t>
  </si>
  <si>
    <t>US-TC-61</t>
  </si>
  <si>
    <t>US-TC-62</t>
  </si>
  <si>
    <t>page breaks into code when changing to status "certificate claimed"</t>
  </si>
  <si>
    <t>US-TC-63</t>
  </si>
  <si>
    <t>US-TC-64</t>
  </si>
  <si>
    <t>US-TC-65</t>
  </si>
  <si>
    <t>US-TC-66</t>
  </si>
  <si>
    <t>The request ID should be left-padded with zeros to a length of 5.</t>
  </si>
  <si>
    <t>US-TC-67</t>
  </si>
  <si>
    <t>US-TC-68</t>
  </si>
  <si>
    <t>US-TC-69</t>
  </si>
  <si>
    <t>US-TC-70</t>
  </si>
  <si>
    <t>US-TC-71</t>
  </si>
  <si>
    <t>US-TC-72</t>
  </si>
  <si>
    <t>US-TC-73</t>
  </si>
  <si>
    <t>US-TC-74</t>
  </si>
  <si>
    <t>US-TC-75</t>
  </si>
  <si>
    <t>US-TC-76</t>
  </si>
  <si>
    <t>US-TC-77</t>
  </si>
  <si>
    <t>US-TC-78</t>
  </si>
  <si>
    <t>US-TC-79</t>
  </si>
  <si>
    <t>US-TC-80</t>
  </si>
  <si>
    <t>US-TC-81</t>
  </si>
  <si>
    <t>US-TC-82</t>
  </si>
  <si>
    <t>US-TC-83</t>
  </si>
  <si>
    <t>US-TC-84</t>
  </si>
  <si>
    <t>US-TC-85</t>
  </si>
  <si>
    <t>US-TC-86</t>
  </si>
  <si>
    <t>US-TC-87</t>
  </si>
  <si>
    <t>US-TC-88</t>
  </si>
  <si>
    <t>US-TC-89</t>
  </si>
  <si>
    <t>US-TC-90</t>
  </si>
  <si>
    <t>US-TC-91</t>
  </si>
  <si>
    <t>US-TC-92</t>
  </si>
  <si>
    <t>US-TC-93</t>
  </si>
  <si>
    <t>US-TC-94</t>
  </si>
  <si>
    <t>US-TC-95</t>
  </si>
  <si>
    <t>US-TC-96</t>
  </si>
  <si>
    <t>US-TC-97</t>
  </si>
  <si>
    <t>US-TC-98</t>
  </si>
  <si>
    <t>US-TC-99</t>
  </si>
  <si>
    <t>US-TC-100</t>
  </si>
  <si>
    <t>US-TC-101</t>
  </si>
  <si>
    <t>US-TC-102</t>
  </si>
  <si>
    <t>US-TC-103</t>
  </si>
  <si>
    <t>US-TC-104</t>
  </si>
  <si>
    <t>US-TC-105</t>
  </si>
  <si>
    <t>US-TC-106</t>
  </si>
  <si>
    <t>US-TC-107</t>
  </si>
  <si>
    <t>US-TC-108</t>
  </si>
  <si>
    <t>US-TC-109</t>
  </si>
  <si>
    <t>US-TC-110</t>
  </si>
  <si>
    <t>US-TC-111</t>
  </si>
  <si>
    <t>US-TC-112</t>
  </si>
  <si>
    <t>US-TC-113</t>
  </si>
  <si>
    <t>US-TC-114</t>
  </si>
  <si>
    <t>US-TC-115</t>
  </si>
  <si>
    <t>US-TC-116</t>
  </si>
  <si>
    <t>US-TC-117</t>
  </si>
  <si>
    <t>US-TC-118</t>
  </si>
  <si>
    <t>US-TC-119</t>
  </si>
  <si>
    <t>US-TC-120</t>
  </si>
  <si>
    <t xml:space="preserve">Hannah - SMS was received, but it did not display the reason and assessor's notes.
</t>
  </si>
  <si>
    <t xml:space="preserve">Hannah -  Email was received, but it did not display the reason and assessor's notes.
</t>
  </si>
  <si>
    <t>Received an error of "BadMethodCallException
Call to undefined method App\Models\Certificate::getCertificateTypeText()"</t>
  </si>
  <si>
    <r>
      <rPr>
        <rFont val="Inter"/>
        <b/>
        <sz val="12.0"/>
      </rPr>
      <t xml:space="preserve"> USER STORY: 
</t>
    </r>
    <r>
      <rPr>
        <rFont val="Inter"/>
        <sz val="12.0"/>
      </rPr>
      <t xml:space="preserve">
As a new user, I want to click the 'New? Sign Up' button on the login page so that I can access the registration form and create an account.</t>
    </r>
    <r>
      <rPr>
        <rFont val="Inter"/>
        <color rgb="FF1155CC"/>
        <sz val="12.0"/>
        <u/>
      </rPr>
      <t xml:space="preserve">
</t>
    </r>
    <r>
      <rPr>
        <rFont val="Inter"/>
        <sz val="12.0"/>
      </rPr>
      <t xml:space="preserve">
</t>
    </r>
  </si>
  <si>
    <t>Expected Results</t>
  </si>
  <si>
    <t>Comments/Issue</t>
  </si>
  <si>
    <t>Verify that clicking the 'New? Sign Up' button on the Login page redirects the user to the Registration Form of the Assessor’s Office.</t>
  </si>
  <si>
    <t>1. User must be on the Sta. Rosa Payroll Portal.
2. User must be on the Login page.</t>
  </si>
  <si>
    <t>1. Search Assessor office login</t>
  </si>
  <si>
    <t xml:space="preserve">The registration form is displayed with the following required fields marked with an asterisk (*) and appropriate placeholders or labels:
A note is shown: “Please fill out the fields below with your information. All fields with asterisks (*) are required.
a) First Name*
b) Middle Name
c) Last Name*
d) Date of Birth (dd/mm/yyyy)*
e) Contact Number*
f) Email Address*
g) New Password*
h) Confirm Password*
A checkbox for "I agree to the Terms &amp; Conditions of the City of Sta Rosa"
Click the Submit button for the creation of account. </t>
  </si>
  <si>
    <t>Verify that the system accepts a valid contact number that starts with '09' in the Contact Number field.</t>
  </si>
  <si>
    <t>1. User must be on the Sta. Rosa Payroll Portal.
2. User must be on the Login page.
3. User must click the "New Sign-up" button.</t>
  </si>
  <si>
    <t xml:space="preserve">1. Search Assessor office login
2. Click the "New?Sign up" button below the forget password. 
3. Fill out the  First Name Field
4. Fill out Middle Name Field
5. Fill out the Last Name Field
6. Fill out the Date of Birth
7. Fill out the Contact Number by 09
8. Fill out the Email Address Field
9. Set the Password on the New Password Field
10. Confirm the Password on the Confirm Password Field
11. Click the checkbox on T&amp;C
12. Click Submit Button
</t>
  </si>
  <si>
    <t xml:space="preserve">The registration form is displayed with the following required fields marked with an asterisk (*) and appropriate placeholders or labels:
A note is shown: “Please fill out the fields below with your information. All fields with asterisks (*) are required.
a) First Name*
b) Middle Name
c) Last Name*
d) Date of Birth (dd/mm/yyyy)*
e) Contact Number*
f) Email Address*
g) New Password*
h) Confirm Password*
A checkbox for "I agree to the Terms &amp; Conditions of the City of Sta Rosa"
Click the Submit button for the creation of account. 
After that it will go the Assessor Office confirmation message
This confirmation message consist of the message: 
Assessor’s Office
Thank you!
Please check your e-mail inbox for verification.
[Back to Home] button
</t>
  </si>
  <si>
    <t xml:space="preserve">
Verify that the system accepts a valid contact number that starts with '639' in the Contact Number field.
</t>
  </si>
  <si>
    <t xml:space="preserve">1. Search Assessor office login
2. Click the "New?Sign up" button below the forget password. 
3. Fill out the  First Name Field
4. Fill out Middle Name Field
5. Fill out the Last Name Field
6. Fill out the Date of Birth
7. Fill out the Contact Number by 639
8. Fill out the Email Address Field
9. Set the Password on the New Password Field
10. Confirm the Password on the Confirm Password Field
11. Click the checkbox on T&amp;C
12. Click Submit Button
</t>
  </si>
  <si>
    <t>Verify that the system accepts a properly formatted email address (e.g., juandela@cruz.com) in the Email field.</t>
  </si>
  <si>
    <t xml:space="preserve">1. Search Assessor office login
2. Click the "New?Sign up" button below the forget password. 
3. Fill out the  First Name Field
4. Fill out Middle Name Field
5. Fill out the Last Name Field
6. Fill out the Date of Birth
7. Fill out the Contact Number
8. Fill out the Email Address Field with a valid email address "@"
9. Set the Password on the New Password Field
10. Confirm the Password on the Confirm Password Field
11. Click the checkbox on T&amp;C
12. Click Submit Button
</t>
  </si>
  <si>
    <t xml:space="preserve"> Verify that the system prevents form submission and displays an error when an invalid email address (e.g., juandelacruz) is entered.</t>
  </si>
  <si>
    <t>An error message will be displayed if the email entered is invalid.</t>
  </si>
  <si>
    <t>Verify that the system accepts a strong password that includes special characters or alphanumeric combinations.</t>
  </si>
  <si>
    <t xml:space="preserve">
1. Search Assessor office login
2. Click the ""New?Sign up"" button below the forget password. 
3. Fill out the  First Name Field
4. Fill out Middle Name Field
5. Fill out the Last Name Field
6. Fill out the Date of Birth
7. Fill out the Contact Number
8. Fill out the Email Address Field 
9. Set the Password on the New Password Field with special characters or strings
10. Confirm the Password on the Confirm Password Field
11. Click the checkbox on T&amp;C
12. Click Submit Button
</t>
  </si>
  <si>
    <t>Verify that the system prevents form submission when the Confirm Password field does not match the New Password field.</t>
  </si>
  <si>
    <t xml:space="preserve">
1. Search Assessor office login
2. Click the ""New?Sign up"" button below the forget password. 
3. Fill out the  First Name Field
4. Fill out Middle Name Field
5. Fill out the Last Name Field
6. Fill out the Date of Birth
7. Fill out the Contact Number
8. Fill out the Email Address Field 
9. Set the Password on the New Password Field with special characters or strings
10. Confirm the Password with wrong characteds on the Confirm Password Field
</t>
  </si>
  <si>
    <t>The user will receive a inline field warning if the confirmation password does not match the original password</t>
  </si>
  <si>
    <t xml:space="preserve">
Verify that the Submit button will not proceed if the Terms &amp; Conditions checkbox is not checked.</t>
  </si>
  <si>
    <t xml:space="preserve">Will received a pop up warning that the checkbox of T&amp;C is not yet check. Should no proceed it not. </t>
  </si>
  <si>
    <t>Verify that the Assessor’s Office Registration form displays required field validation messages when any mandatory field is left unanswered.</t>
  </si>
  <si>
    <t xml:space="preserve">Verifiy that after clicking the Registration button will be directed to Please Verify Login. </t>
  </si>
  <si>
    <t>Verify that clicking the 'Back to Home' button redirects the user to the Login page</t>
  </si>
  <si>
    <t>Verify that the password requirements are clearly indicated before any input is made. -Jed</t>
  </si>
  <si>
    <t>The requirements, "Password must be at least 8 characters long and include at least one uppercase letter, one lowercase letter, one number, and one special character." Indicated clearly when creating a password.</t>
  </si>
  <si>
    <t>Verify that the password field in registration has a hide/show password toggle. -Jed</t>
  </si>
  <si>
    <t>Password field having a button to toggle between hide and show.</t>
  </si>
  <si>
    <t>Verify that the contact number field in registration won't allow alphabetic characters. -Jed</t>
  </si>
  <si>
    <t>The system won't allow registration when the field for contact number contains letters.</t>
  </si>
  <si>
    <t>Verify if the registration won't go through if the user's birth date is set in a future date. -Jed</t>
  </si>
  <si>
    <t>The system won't allow registration when the user's birth date is beyond the current date.</t>
  </si>
  <si>
    <r>
      <rPr>
        <rFont val="Inter"/>
        <b/>
        <sz val="12.0"/>
      </rPr>
      <t xml:space="preserve">USER STORY: 
</t>
    </r>
    <r>
      <rPr>
        <rFont val="Inter"/>
        <sz val="12.0"/>
      </rPr>
      <t xml:space="preserve">
As a registered user of the Assessor’s Office portal,
I want to log in using my email and password,
So that I can access my personal records and services provided by the City of Sta. Rosa.</t>
    </r>
    <r>
      <rPr>
        <rFont val="Inter"/>
        <color rgb="FF1155CC"/>
        <sz val="12.0"/>
        <u/>
      </rPr>
      <t xml:space="preserve">
</t>
    </r>
  </si>
  <si>
    <t xml:space="preserve">
Verify that the login form loads correctly in the user interface.</t>
  </si>
  <si>
    <t>1. Search Assessor office login
2. Navigate to the login page.</t>
  </si>
  <si>
    <t xml:space="preserve">
The Assessor Office Login Page consists of the following elements:
a) Email address field
b) Password field
c) Terms &amp; Conditions checkbox
d) Submit button
e) Forgot Password link
f) "New? Sign up" button
</t>
  </si>
  <si>
    <t>Verify that the system can able to log in using a registered email and password.</t>
  </si>
  <si>
    <t>1. Search Assessor office login
2. Fill out the Email Address field with a registered email address
3. Fill out the Password field with a registered password
4. Click the checkbox of T&amp;C
5. Click the Submit button</t>
  </si>
  <si>
    <t xml:space="preserve">
After entering a registered email and password:
a) Message is displayed: "Thank you!" "Please check your email inbox for verification."
b) "Back to Home" button is shown.
c) Clicking the "Back to Home" button redirects the user to the home page.
After logging in with a verified new account, the user is redirected to the Assessor’s Office Dashboard, which includes the following elements:
Assessor’s Office label
a) Profile link 
b) Logout button
Main Page Content:
a) Welcome message for new accounts (e.g., “Welcome to the Assessor’s Office Portal!”)
b) "New Request" button for submitting a new request
</t>
  </si>
  <si>
    <t>Verify that the system prevents to login when an invalid email is entered.</t>
  </si>
  <si>
    <t>1. Search Assessor office login
2. Fill out the Email Address field with a invalid email address
3. Fill out the Password field
4. Click the checkbox of T&amp;C
5. Click the Submit button</t>
  </si>
  <si>
    <t xml:space="preserve">The Assessor Office Login Page consists of the following elements:
a) Email address field
- Display an error message of "Please check your inputs, ensure that you input the same email address that you used upon registration, and your password is correct."
b) Password field
c) Terms &amp; Conditions checkbox
d) Submit button
e) "New? Sign up" button
f) Forgot Password link
</t>
  </si>
  <si>
    <t>Verify that the system prevents to login when an invalid password is entered.</t>
  </si>
  <si>
    <t>1. Search Assessor office login
2. Fill out the Email Address field 
3. Fill out the Password field with invalid password
4. Click the checkbox of T&amp;C
5. Click the Submit button</t>
  </si>
  <si>
    <t>Verify that the system prevents to login when user is not registered.</t>
  </si>
  <si>
    <t>1. Search Assessor office login
2. Fill out the Email Address field with a unregistered email address
3. Fill out the Password field with unregistered password
4. Click the checkbox of T&amp;C
5. Click the Submit button</t>
  </si>
  <si>
    <t xml:space="preserve">The Assessor Office Login Page consists of the following elements:
a) Email address field
b) Password field
c) Terms &amp; Conditions checkbox
d) Submit button
e) Forgot Password link
f) "New? Sign up" button
- Display an error message of "Please check your inputs, ensure that you input the same email address that you used upon registration, and your password is correct."
</t>
  </si>
  <si>
    <t>Verify that the submit button is disabled when T&amp;C is unchecked</t>
  </si>
  <si>
    <t>1. Search Assessor office login
2. Fill out the Email Address field with a registered email address
3. Fill out the Password field
4. Do not click the checkbox of T&amp;C
5. Click the Submit button</t>
  </si>
  <si>
    <t>The Assessor Office Login Page consists of the following elements:
a) Email address field
b) Password field
c) Terms &amp; Conditions checkbox
d) Submit button
e) Forgot Password link
f) "New? Sign up" button
- If the Terms &amp; Conditions checkbox is not checked, a validation message appears:
"Please accept the Terms &amp; Conditions to proceed."</t>
  </si>
  <si>
    <t xml:space="preserve">Verify that the system displays a required field when the Email, Password, or Terms &amp; Conditions checkbox is left empty.
</t>
  </si>
  <si>
    <t>1. Search Assessor office login
2. Do not fill out the Email Address field 
3. Do not fill out the Password field 
4. Do not click the checkbox of T&amp;C
5. Click the Submit button</t>
  </si>
  <si>
    <t>The Assessor Office Login Page consists of the following elements:
a) Email address field
b) Password field
c) Terms &amp; Conditions checkbox
d) Submit button
e) Forgot Password link
f) "New? Sign up" button
A required field validation message will appear if any of the following are left empty:
i. Email address field: "The email field is required." or "The email must be a valid email address."
ii. Password field: "The password field is required."
iii. Terms &amp; Conditions checkbox: "Please accept the Terms &amp; Conditions to proceed."</t>
  </si>
  <si>
    <t xml:space="preserve">Verify Forgot Password link navigates to reset page	</t>
  </si>
  <si>
    <t xml:space="preserve">1. Search Assessor office login
2. Click the Forgot Password link
</t>
  </si>
  <si>
    <t xml:space="preserve">The Forgot Password page will have the following details:
a) "A reset link will be sent to your email address."
b) "Input your registered email address."
c) Email Address field
d) Send Password Reset Link button
</t>
  </si>
  <si>
    <t>Verify if the password requires at least one symbol, one lowercase letter, one uppercase letter, and one number</t>
  </si>
  <si>
    <t>Able to submit the new password credentials even without meeting the required password security criteria</t>
  </si>
  <si>
    <t xml:space="preserve">Verify that if the password and confirm password do not match, an appropriate error message is displayed </t>
  </si>
  <si>
    <t>Verify that the user receives a reset password email after using the Forgot Password feature.</t>
  </si>
  <si>
    <t>Verify that there is a toggle to show or hide the Password and Confirm Password fields.</t>
  </si>
  <si>
    <t xml:space="preserve">Verify Sign Up link navigates to registration page	</t>
  </si>
  <si>
    <t xml:space="preserve">1. Search Assessor office login
2. Click the New?Sign up button
</t>
  </si>
  <si>
    <t xml:space="preserve">The Assessor Office Login Page consists of the following elements:
a) Email address field
b) Password field
c) Terms &amp; Conditions checkbox
d) Submit button
e) Forgot Password link
f) "New? Sign up" button
The registration form is displayed with the following required fields marked with an asterisk (*) and appropriate placeholders or labels:
A note is shown: “Please fill out the fields below with your information. All fields with asterisks (*) are required.
a) First Name*
b) Middle Name
c) Last Name*
d) Date of Birth (dd/mm/yyyy)*
e) Contact Number*
f) Email Address*
g) New Password*
h) Confirm Password*
A checkbox for "I agree to the Terms &amp; Conditions of the City of Sta Rosa"
Click the Submit button for the creation of account. </t>
  </si>
  <si>
    <t xml:space="preserve">Verify password input is masked	</t>
  </si>
  <si>
    <t xml:space="preserve">1. Search Assessor office login
2. Fill out the Email Address field with a registered email address
3. Fill out the Password field with a registered password
</t>
  </si>
  <si>
    <t>The characters entered in the Password field should appear as masked characters (e.g., ••••••)</t>
  </si>
  <si>
    <r>
      <rPr>
        <rFont val="Inter"/>
        <b/>
        <color theme="1"/>
        <sz val="12.0"/>
      </rPr>
      <t xml:space="preserve">USER STORY: </t>
    </r>
    <r>
      <rPr>
        <rFont val="Inter"/>
        <color theme="1"/>
        <sz val="12.0"/>
      </rPr>
      <t xml:space="preserve">
As a new user of the Assessor’s Office portal,
I want to see a confirmation message after submitting my email for verification,
So that I know the next steps and can return to the homepage easily.</t>
    </r>
  </si>
  <si>
    <t xml:space="preserve">
Verify that the system sends a verification OTP email upon registration.
</t>
  </si>
  <si>
    <t xml:space="preserve">1. Search Assessor office login
2. Login with registered email and password and checkbox of T&amp;C. 
3. Click Submit button
4. Check OTP Verification sent on email. 
5. Put the OTP on the Verification </t>
  </si>
  <si>
    <t xml:space="preserve">The user is redirected to a confirmation screen displaying the following:
a) "Assessor’s Office" header
b) "One-Time Passcode
c) A message is displayed: "An email verification has been sent to your email address. Please click on the link within 15 minutes in order to proceed."
d) An OTP input field labeled as "Input OTP Code" is shown.
e) Didn't receive the OTP on your email address? text field below
f) "Click here to resend" link for request OTP 
g) Submit button
</t>
  </si>
  <si>
    <t xml:space="preserve">
Verify that the system sends a verification OTP email upon logging in.
</t>
  </si>
  <si>
    <t xml:space="preserve">
Verify that the user is able to enter a valid One-Time PIN (OTP) on the OTP verification page and is successfully redirected to the dashboard.
</t>
  </si>
  <si>
    <t>1. Search Assessor office login
2. Login with registered email and password and checkbox of T&amp;C. 
3. Click Submit button
4. Check OTP Verification sent on email. 
5. Put the valid OTP on the Verification 
6. Click submit or press enter</t>
  </si>
  <si>
    <t xml:space="preserve">Verify that entering an invalid One-Time PIN (OTP) on the OTP verification page displays an error message.
</t>
  </si>
  <si>
    <t>1. Search Assessor office login
2. Login with registered email and password and checkbox of T&amp;C. 
3. Click Submit button
4. Check OTP Verification sent on email. 
5. Put the invalid OTP on the Verification 
6. Click submit or press enter</t>
  </si>
  <si>
    <t xml:space="preserve">Verify that entering an expired One-Time PIN (OTP) after 15 minutes on the OTP verification page displays an error message indicating the OTP has expired.
</t>
  </si>
  <si>
    <t>1. Search Assessor office login
2. Login with registered email and password and checkbox of T&amp;C. 
3. Click Submit button
4. Check OTP Verification sent on email. 
5. Put the expired OTP on the Verification 
6. Click submit or press enter</t>
  </si>
  <si>
    <t xml:space="preserve">The user is redirected to a confirmation screen displaying the following:
a) "Assessor’s Office" header
b) "One-Time Passcode
c) A message is displayed: "An email verification has been sent to your email address. Please click on the link within 15 minutes in order to proceed."
d) An OTP input field labeled as "Input OTP Code" is shown.
e) "Invalid verification code. Please try again." red text is shown below the field
f) Didn't receive the OTP on your email address? text field below
g) "Click here to resend" link for request OTP 
h) Submit button
</t>
  </si>
  <si>
    <t xml:space="preserve">Verify that a used OTP cannot be used again for verification on the OTP verification page.
</t>
  </si>
  <si>
    <t>1. Search Assessor office login
2. Login with registered email and password and checkbox of T&amp;C. 
3. Click Submit button
4. Click the Back to Home button</t>
  </si>
  <si>
    <t xml:space="preserve">Able to received an error message of "Invalid verification code. Please try again."
</t>
  </si>
  <si>
    <t xml:space="preserve">Verify that unable to request OTP if there is an existing OTP ongoing request.
</t>
  </si>
  <si>
    <t xml:space="preserve">The user is redirected to a confirmation screen displaying the following:
a) "Assessor’s Office" header
b) "One-Time Passcode
c) A message is displayed: "An email verification has been sent to your email address. Please click on the link within 15 minutes in order to proceed."
d) An OTP input field labeled as "Input OTP Code" is shown.
e) "A One-Time PIN (OTP) has already been sent. Please wait 15 minutes before making another request." red text is shown below the field
f) Didn't receive the OTP on your email address? text field below
g) "Click here to resend" link for request OTP 
h) Submit button
</t>
  </si>
  <si>
    <r>
      <rPr>
        <rFont val="Inter"/>
        <b/>
        <color theme="1"/>
        <sz val="12.0"/>
      </rPr>
      <t xml:space="preserve">USER STORY: </t>
    </r>
    <r>
      <rPr>
        <rFont val="Inter"/>
        <color theme="1"/>
        <sz val="12.0"/>
      </rPr>
      <t xml:space="preserve">
As a logged-in user of the Assessor’s Office portal,
I want to access my profile, logout option, see a welcome message, and submit new requests easily,
So that I can efficiently manage my account and services.</t>
    </r>
  </si>
  <si>
    <t xml:space="preserve">Verify that clicking the "New Request" button redirects the user to the request of Certificate Application page.
</t>
  </si>
  <si>
    <t>1. User must be on the Sta. Rosa Payroll Portal.
2. User must be on the Login page.
3. User must be logged in
4. User must have successfully verified the One-Time PIN (OTP).
5. User must be on the New Request Page.</t>
  </si>
  <si>
    <t xml:space="preserve">1. Search Assessor office login
2. Login with registered email and password and checkbox of T&amp;C. 
3. Have completed the OTP verification
4. Click the "New Request" button
</t>
  </si>
  <si>
    <t xml:space="preserve">Certificate form should display all five checkbox options:
a) Certificate of True Copy of Tax Declaration
b) Transfer of Tax Declaration
c) Certification of No-Property
d) Certificate of Aggregate Landholdings
e) Other Certifications
- When user types into the "Type of Certificate" field, it should accept input with a popup guidance saying:
“Put a comma between certificates. Example: Certificate A, Certificate B.”
Claiming section should display two selectable options (radio buttons):
a) Personal
b) Authorized Representative
c) "ID of Property Owner with 3 Signatures" w/ upload field button
- field should allow drag-and-drop or file upload functionality. Accepted file types:
.jpg, .png, .docx, .pdf
Line separator
Checkbox of I agree to the Terms &amp; Condition of the City of the Sta Rosa
Buttons (located the T&amp;C):
a) Save Changes — submits the form and saves the cretificate application
b) Cancel — discards any changes and returns the user to the previous screen or dashboard
</t>
  </si>
  <si>
    <t>"type of certificate" field changed to drop down. 
comma text no longer applicable. 
multi select from drop down doesnt seem to be allowed
but primary function working</t>
  </si>
  <si>
    <t xml:space="preserve">Verify that clicking the "Profile" link navigates the user to their profile details or account settings page.
</t>
  </si>
  <si>
    <t>1. Search Assessor office login
2. Login with registered email and password and checkbox of T&amp;C. 
3. Have completed the OTP verification
4. Click the Profile link on the top right</t>
  </si>
  <si>
    <t xml:space="preserve">After the user is redirected to the Profile page, the screen should display the following layout and elements:
Header:
Assessor's Office
Section: Profile
a) First Name* — a text field is displayed below the label
b) Middle Name — a text field is displayed below the label
c) Last Name* — a text field is displayed below the label
d) Date of Birth* — a text field is displayed below the label
e) Contact Number* — a text field is displayed below the label
f) E-mail Address — a text field is displayed below the label
Line Separator
Section: Password Update
a) New Password* — a hashed password field is displayed below the label
b) Confirm Password* — a hashed password field is displayed below the label
Buttons (located below password fields):
a) Save Changes — submits the form and saves the updated profile information
b) Cancel — discards any changes and returns the user to the previous screen or dashboard
</t>
  </si>
  <si>
    <t>Verify that the user can successfully update the First Name without altering the password field.</t>
  </si>
  <si>
    <t xml:space="preserve"> </t>
  </si>
  <si>
    <t>Verify that the user can update the Middle Name without modifying the password.</t>
  </si>
  <si>
    <t xml:space="preserve">1. Search Assessor office login
2. Login with registered email and password and checkbox of T&amp;C. 
3. Have completed the OTP verification
4. Click the Profile link on the top right
5. Update the Middle Name field.
6. Leave the Password field blank.
7. Click the  Save Changes button.
8. Confirm that the Middle Name is saved successfully without a password update.
</t>
  </si>
  <si>
    <t>Verify that the user can update the Last Name independently of the password field.</t>
  </si>
  <si>
    <t xml:space="preserve">1. Search Assessor office login
2. Login with registered email and password and checkbox of T&amp;C. 
3. Have completed the OTP verification
4. Click the Profile link on the top right
5. Modify the Last Name field.
6. Leave the Password field empty.
7. Click the Save Changes button
8. Ensure that the Last Name change is reflected without altering the password.
</t>
  </si>
  <si>
    <t>Confirm that Date of Birth can be edited and saved without updating the password.</t>
  </si>
  <si>
    <t xml:space="preserve">1. Search Assessor office login
2. Login with registered email and password and checkbox of T&amp;C. 
3. Have completed the OTP verification
4. Click the Profile link on the top right
5. Edit the Date of Birth field.
6. Leave the Password field blank.
7. Click the Save Changes button
8. Validate that the Date of Birth is updated successfully without requiring password input.
</t>
  </si>
  <si>
    <t xml:space="preserve">Verify that the user can update the Contact Number without needing to input a new password.
</t>
  </si>
  <si>
    <t>1. Search Assessor office login
2. Login with registered email and password and checkbox of T&amp;C. 
3. Have completed the OTP verification
4. Click the Profile link on the top right
5. Update the Contact Number field.
6. Leave the Password field empty.
7. Click the  Save Changes button
8. Confirm that the new Contact Number is saved successfully without changing the password.</t>
  </si>
  <si>
    <t>Verify that the user can change their Email Address while leaving the password field blank.</t>
  </si>
  <si>
    <t xml:space="preserve">1. Search Assessor office login
2. Login with registered email and password and checkbox of T&amp;C. 
3. Have completed the OTP verification
4. Click the Profile link on the top right
5. Edit the Email Address field.
6. Leave the Password field blank.
7. Click the  Save Changes button
8. Verify that the Email Address is updated and saved successfully without entering a password.
</t>
  </si>
  <si>
    <t>Verify that clicking the "Logout" link logs the user out and redirects them to the login page.</t>
  </si>
  <si>
    <t>1. Search Assessor office login
2. Login with registered email and password and checkbox of T&amp;C. 
3. Have completed the OTP verification
4. Click the Logout link on the top right</t>
  </si>
  <si>
    <t>The user will be directed to Login Page of Assessor Office Portal. 
The Assessor Office Login Page consists of the following elements:
a) Email address field
b) Password field
c) Terms &amp; Conditions checkbox
d) Submit button
e) Forgot Password link
f) ""New? Sign up"" button
- If the Terms &amp; Conditions checkbox is not checked, a validation message appears:
"Please accept the Terms &amp; Conditions to proceed."</t>
  </si>
  <si>
    <r>
      <rPr>
        <rFont val="Inter"/>
        <b/>
        <color theme="1"/>
        <sz val="12.0"/>
      </rPr>
      <t xml:space="preserve">USER STORY: 
</t>
    </r>
    <r>
      <rPr>
        <rFont val="Inter"/>
        <color theme="1"/>
        <sz val="12.0"/>
      </rPr>
      <t xml:space="preserve">As a property owner,
I want to apply for a </t>
    </r>
    <r>
      <rPr>
        <rFont val="Inter"/>
        <b/>
        <color theme="1"/>
        <sz val="12.0"/>
      </rPr>
      <t>Certificate of True Copy of Tax Declaration</t>
    </r>
    <r>
      <rPr>
        <rFont val="Inter"/>
        <color theme="1"/>
        <sz val="12.0"/>
      </rPr>
      <t xml:space="preserve">
So that I can process my property documentation
And have it claimed as</t>
    </r>
    <r>
      <rPr>
        <rFont val="Inter"/>
        <b/>
        <color theme="1"/>
        <sz val="12.0"/>
      </rPr>
      <t xml:space="preserve"> Personal
</t>
    </r>
  </si>
  <si>
    <t>Verify that the user is able to select both the "Certificate of True Copy of Tax" checkbox under the Type of Certificate section.</t>
  </si>
  <si>
    <t>1. User must be on the Sta. Rosa Payroll Portal.
2. User must be on the Login page.
3. User must be logged in the Assessor's Office portal
4. User must be on the request page of Certificate of Application</t>
  </si>
  <si>
    <t>1. Search Assessor office login
2. Login with registered email and password and checkbox of T&amp;C. 
3. Click Submit button
4. Check OTP Verification sent on email. 
5. Put the OTP on the Verification 
6. Click the "New Request" button
7. Click the Click the Transfer of Tax Declaration under Type of Certificate
8. Chose the Authorized Representative option under Claiming</t>
  </si>
  <si>
    <t xml:space="preserve">Type of Certificate:
The user successfully selects both of the following checkboxes:
a) Transfer of Tax Declaration
Claiming Method:
-- The user selects the Personal radio button.
ID of Property Owner with 3 Signatures:
- The required document is successfully uploaded via the drag-and-drop or upload file field.
</t>
  </si>
  <si>
    <t xml:space="preserve">Verify that the user is able to select the “Personal” radio button under the Claiming section.
</t>
  </si>
  <si>
    <t xml:space="preserve">Verify that the system accepts and successfully uploads a valid file (.jpg, .png, .docx, or .pdf) for the ID of Property Owner with 3 Signatures </t>
  </si>
  <si>
    <t>Verify that when the user clicks the information icon beside 'ID of Property Owner with 3 Signatures ', the system displays the Certificate Requirements.</t>
  </si>
  <si>
    <t xml:space="preserve">When the user clicks the information icon beside the “ID of Representative with 3 Signatures” field, the system must display a pop-up window containing the complete list of Certificate Requirements.
The pop-up must include the following categorized details:
Certificate Requirements
For Certificate of True Copy of Tax Declaration / Certificate of Aggregate Landholdings / Certification of No-Property / Other Certifications:
• ID of Property Owner with three (3) Signatures
• Original Copy of Contract of Lease
• Original Copy of Deed of Absolute Sale (DOAS)
• Original Copy of Contract to Sell
• Proof of Ownership
• If Company / Bank Developer: Secretary’s Certificate and one (1) employee ID
• If Loan Mortgage: Photocopy of Loan Agreement
For Transfer of Tax Declaration:
• ID of Property Owner with three (3) Signatures
• Certified True Copy of Title
• Xerox Copy of Deed of Sale / Donation / Extra Judicial Settlement
• Xerox Copy of Real Property Tax Receipt or Tax Clearance
• Xerox Copy of Transfer Tax Receipt or Certification of Transfer Tax
• Xerox Copy of C.A.R (B.I.R)
• Receipt from RD for New Title
• For subdivided lots: Copy of Subdivision Plan
• For Canceled Titles: Certified Canceled Title
• For Foreclosed Lots: Certification of Sale and Affidavit of Consolidation of Ownership
Additional Documents for Authorized Representative
• ID of Authorized Representative with three (3) Signatures
• Original Copy of Authorization Letter
• Original Copy of Special Power of Attorney (SPA)
</t>
  </si>
  <si>
    <t>Verify that the system prevents form submission and displays a validation error when the ID of Property Owner with 3 Signatures  upload field is left blank.</t>
  </si>
  <si>
    <t>Authorized Representative Requirements
These are the required documents for the Authorized Representative. All fields are mandatory, and the system will not accept submission unless valid documents are uploaded. Valid file types include .jpg, .png, .docx, or .pdf:
• ID of Representative with 3 Signatures
• Supported file types: jpg, png, docx, or pdf only
• File upload field with an Upload File button
Special Power of Attorney (SPA)
• Supported file types: jpg, png, docx, or pdf only
• File upload field with an Upload File button
Authorization Letter
• Supported file types: jpg, png, docx, or pdf only
• File upload field with an Upload File button
Authorized Representative Requirements Validation:
• If the file upload is left blank, the system triggers a required field validation error with the message:
“Please upload an ID of Representative with 3 Signatures document in .jpg, .png, .docx, or .pdf format only.”
• The system must block submission until a valid file is uploaded.</t>
  </si>
  <si>
    <t>Verify that the system rejects and displays an error message when an unsupported file type (e.g., .exe, .zip) is uploaded to theID of Property Owner with 3 Signatures  field.</t>
  </si>
  <si>
    <t>The system rejects the unsupported file upload.
An error message is displayed:
“Please upload an ID of Representative with 3 Signatures document in .jpg, .png, .docx, or .pdf format only.”
The invalid file is not accepted or saved.</t>
  </si>
  <si>
    <t>Verify that the uploaded "ID of Property Owner with three (3) Signatures" file can be removed by clicking the “X” button located beside the uploaded file .</t>
  </si>
  <si>
    <t xml:space="preserve">The uploaded "ID of Property Owner with three (3) Signatures" file shall be successfully removed from the form when the user clicks the “X” button located beside the uploaded file, and the upload field shall be cleared to allow a new file to be uploaded.
</t>
  </si>
  <si>
    <t>Verify that only one file can be uploaded for the "ID of Property Owner with three (3) Signatures" field and that the system processes only the uploaded file when applying</t>
  </si>
  <si>
    <t xml:space="preserve">The system shall allow uploading only one file for the "ID of Property Owner with three (3) Signatures" field. If a new file is uploaded, it shall replace the previously uploaded file. The system shall process only the currently uploaded file during the application submission.
</t>
  </si>
  <si>
    <t>Verify that uploading a new file for the "ID of Property Owner with three (3) Signatures" field replaces the previously uploaded file</t>
  </si>
  <si>
    <t xml:space="preserve">When a new file is uploaded for the "ID of Property Owner with three (3) Signatures" field, the system shall replace the previously uploaded file with the new one, displaying only the latest uploaded file in the upload section.
</t>
  </si>
  <si>
    <t>Verify that the form prevents submission when the uploaded file for ID of Property Owner with three (3) Signatures is blank, corrupted, or unreadable</t>
  </si>
  <si>
    <t>The form shall prevent submission if the uploaded file for the “ID of Property Owner with three (3) Signatures” is blank, corrupted, or unreadable.
A clear validation message or notification shall be displayed near the upload field or as a general alert, stating:
1.) “The ID of Property Owner with three (3) Signatures is required. Please upload a jpg, png, docx or pdf files only.”
2.) The user shall remain on the current form page with all previously entered data preserved, except for the missing or invalid file.
3.) The system shall block form submission until a valid and readable file in the accepted formats (.jpg, .png, .docx, .pdf) is successfully uploaded for this required field.</t>
  </si>
  <si>
    <t>Verify that the system accepts and successfully uploads a valid file (.jpg, .png, .docx, or .pdf) for the Contract of Lease field on the Certificate Requirements.</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</si>
  <si>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In the Contract of Lease upload field, click Upload File, then select a valid .jpg, .png, .docx, or .pdf file.
11. Click Submit.</t>
  </si>
  <si>
    <t>These are the following details for the certification requirements. All fields are mandatory, and the system will not accept submission without uploading the required documents. Valid file types include .jpg, .png, .docx, or .pdf: 
Certification Requirements
Note: All fields are mandatory. The system will not accept the submission if a document is not uploaded. Hover over the information icon to see the list of Valid IDs. (information icon)
a) Contract of Lease
jpg, png, docx or pdf files only 
File
Upload File button
b) Deed of Absolute Sale (DOAS)
jpg, png, docx or pdf files only 
File
Upload File button
c) Proof of Ownership
jpg, png, docx or pdf files only 
File
Upload File button
d) Contract to Sell
jpg, png, docx or pdf files only 
File
Upload File button
Contract of Lease Field:
• Accepts only valid file types: .jpg, .png, .docx, .pdf.</t>
  </si>
  <si>
    <t>Verify that clicking the 'X' button in the upload field successfully removes the selected file on the Contract of Lease upload field.</t>
  </si>
  <si>
    <t>Verify that the system prevents form submission and displays a validation error when the Contract of Lease upload field is left blank on the Certificate Requirements.</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</si>
  <si>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Leave the “Contract of Lease” field empty.
11. Fill out other required document fields with valid files.
12. Click the "Submit" button.</t>
  </si>
  <si>
    <t>These are the following details for the certification requirements. All fields are mandatory, and the system will not accept submission without uploading the required documents. Valid file types include .jpg, .png, .docx, or .pdf: 
Certification Requirements
Note: All fields are mandatory. The system will not accept the submission if a document is not uploaded. Hover over the information icon to see the list of Valid IDs. (information icon)
a) Contract of Lease
jpg, png, docx or pdf files only 
File
Upload File button
b) Deed of Absolute Sale (DOAS)
jpg, png, docx or pdf files only 
File
Upload File button
c) Proof of Ownership
jpg, png, docx or pdf files only 
File
Upload File button
d) Contract to Sell
jpg, png, docx or pdf files only 
File
Upload File button
Contract of Lease Field:
• Leaving this field blank prevents form submission and shows a required field validation error  "Please upload a Contract of Lease document in .jpg, .png, .docx, or .pdf format only." and blocks submission.</t>
  </si>
  <si>
    <t>Verify that the system rejects and displays an error message when an unsupported file type (e.g., .exe, .zip) is uploaded to the Contract of Lease field on the Certificate Requirements.</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</si>
  <si>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Attempt to upload an unsupported file format (e.g., .exe or .zip) to the “Contract of Lease” field.
11. Fill other required fields with valid files.
12. Click "Submit."</t>
  </si>
  <si>
    <t xml:space="preserve">These are the following details for the certification requirements. All fields are mandatory, and the system will not accept submission without uploading the required documents. Valid file types include .jpg, .png, .docx, or .pdf: 
Certification Requirements
Note: All fields are mandatory. The system will not accept the submission if a document is not uploaded. Hover over the information icon to see the list of Valid IDs. (information icon)
a) Contract of Lease
jpg, png, docx or pdf files only 
File
Upload File button
b) Deed of Absolute Sale (DOAS)
jpg, png, docx or pdf files only 
File
Upload File button
c) Proof of Ownership
jpg, png, docx or pdf files only 
File
Upload File button
d) Contract to Sell
jpg, png, docx or pdf files only 
File
Upload File button
Contract of Lease Field:
• Uploading an invalid file type (e.g., .exe, .zip) triggers a clear validation error message "Please upload a Contract of Lease document in .jpg, .png, .docx, or .pdf format only." and blocks submission.
</t>
  </si>
  <si>
    <t>Verify that the system accepts and successfully uploads a valid file (.jpg, .png, .docx, or .pdf) for the Deed of Absolute Sale (DOAS) field on the Certificate Requirements.</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</si>
  <si>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format (e.g., .pdf) to the “Deed of Absolute Sale (DOAS)” field.
11. Fill other required fields with valid files.
12. Click "Submit."</t>
  </si>
  <si>
    <t>These are the following details for the certification requirements. All fields are mandatory, and the system will not accept submission without uploading the required documents. Valid file types include .jpg, .png, .docx, or .pdf: 
Certification Requirements
Note: All fields are mandatory. The system will not accept the submission if a document is not uploaded. Hover over the information icon to see the list of Valid IDs. (information icon)
a) Contract of Lease
jpg, png, docx or pdf files only 
File
Upload File button
b) Deed of Absolute Sale (DOAS)
jpg, png, docx or pdf files only 
File
Upload File button
c) Proof of Ownership
jpg, png, docx or pdf files only 
File
Upload File button
d) Contract to Sell
jpg, png, docx or pdf files only 
File
Upload File button
Deed of Absolute Sale (DOAS) field.
• Accepts only valid file types: .jpg, .png, .docx, .pdf.</t>
  </si>
  <si>
    <t>Verify that clicking the 'X' button in the upload field successfully removes the selected file on the Deed of Absolute Sale (DOAS) upload field.</t>
  </si>
  <si>
    <t>Verify that the system prevents form submission and displays a validation error when the Deed of Absolute Sale (DOAS) upload field is left blank on the Certificate Requirements.</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</si>
  <si>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Leave the “DOAS” field empty.
11. Fill other required fields with valid files.
12. Click "Submit."</t>
  </si>
  <si>
    <t>These are the following details for the certification requirements. All fields are mandatory, and the system will not accept submission without uploading the required documents. Valid file types include .jpg, .png, .docx, or .pdf: 
Certification Requirements
Note: All fields are mandatory. The system will not accept the submission if a document is not uploaded. Hover over the information icon to see the list of Valid IDs. (information icon)
a) Contract of Lease
jpg, png, docx or pdf files only 
File
Upload File button
b) Deed of Absolute Sale (DOAS)
jpg, png, docx or pdf files only 
File
Upload File button
c) Proof of Ownership
jpg, png, docx or pdf files only 
File
Upload File button
d) Contract to Sell
jpg, png, docx or pdf files only 
File
Upload File button
Deed of Absolute Sale (DOAS) field.
• Blank uploads trigger a required field validation error, blocking submission "Please upload a Contract of Lease document in .jpg, .png, .docx, or .pdf format only." and blocks submission.</t>
  </si>
  <si>
    <t>Verify that the system rejects and displays an error message when an unsupported file type is uploaded to the Deed of Absolute Sale (DOAS) field on the Certificate Requirements.</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</si>
  <si>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Attempt to upload an unsupported file format (e.g., .exe, .zip) in the DOAS field.
11. Fill other required fields with valid files.
12. Click "Submit."</t>
  </si>
  <si>
    <t xml:space="preserve">These are the following details for the certification requirements. All fields are mandatory, and the system will not accept submission without uploading the required documents. Valid file types include .jpg, .png, .docx, or .pdf: 
Certification Requirements
Note: All fields are mandatory. The system will not accept the submission if a document is not uploaded. Hover over the information icon to see the list of Valid IDs. (information icon)
a) Contract of Lease
jpg, png, docx or pdf files only 
File
Upload File button
b) Deed of Absolute Sale (DOAS)
jpg, png, docx or pdf files only 
File
Upload File button
c) Proof of Ownership
jpg, png, docx or pdf files only 
File
Upload File button
d) Contract to Sell
jpg, png, docx or pdf files only 
File
Upload File button
Deed of Absolute Sale (DOAS) field.
• Uploading an invalid file type (e.g., .exe, .zip) triggers a clear validation error message "Please upload a Contract of Lease document in .jpg, .png, .docx, or .pdf format only." and blocks submission.
</t>
  </si>
  <si>
    <t>Verify that the system accepts and successfully uploads a valid file (.jpg, .png, .docx, or .pdf) for the Proof of Ownership field on the Certificate Requirements.</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</si>
  <si>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.docx or .pdf file to the Proof of Ownership field.
11. Fill other required fields with valid files.
12. Click "Submit."</t>
  </si>
  <si>
    <t xml:space="preserve">These are the following details for the certification requirements. All fields are mandatory, and the system will not accept submission without uploading the required documents. Valid file types include .jpg, .png, .docx, or .pdf: 
Certification Requirements
Note: All fields are mandatory. The system will not accept the submission if a document is not uploaded. Hover over the information icon to see the list of Valid IDs. (information icon)
a) Contract of Lease
jpg, png, docx or pdf files only 
File
Upload File button
b) Deed of Absolute Sale (DOAS)
jpg, png, docx or pdf files only 
File
Upload File button
c) Proof of Ownership
jpg, png, docx or pdf files only 
File
Upload File button
d) Contract to Sell
jpg, png, docx or pdf files only 
File
Upload File button
Proof of Ownership field.
• Accepts only valid file types: .jpg, .png, .docx, .pdf.
</t>
  </si>
  <si>
    <t>Verify that clicking the 'X' button in the upload field successfully removes the selected file on the Proof of Ownership upload field.</t>
  </si>
  <si>
    <t>Verify that the system prevents form submission and displays a validation error when the Proof of Ownership upload field is left blank on the Certificate Requirements.</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</si>
  <si>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Leave the Proof of Ownership field blank.
11. Fill other required fields with valid files.
12. Click "Submit."</t>
  </si>
  <si>
    <t>These are the following details for the certification requirements. All fields are mandatory, and the system will not accept submission without uploading the required documents. Valid file types include .jpg, .png, .docx, or .pdf: 
Certification Requirements
Note: All fields are mandatory. The system will not accept the submission if a document is not uploaded. Hover over the information icon to see the list of Valid IDs. (information icon)
a) Contract of Lease
jpg, png, docx or pdf files only 
File
Upload File button
b) Deed of Absolute Sale (DOAS)
jpg, png, docx or pdf files only 
File
Upload File button
c) Proof of Ownership
jpg, png, docx or pdf files only 
File
Upload File button
d) Contract to Sell
jpg, png, docx or pdf files only 
File
Upload File button
Proof of Ownership field.
• Blank uploads trigger a required field validation error, blocking submission "Please upload a Contract of Lease document in .jpg, .png, .docx, or .pdf format only." and blocks submission.</t>
  </si>
  <si>
    <t>Verify that the system rejects and displays an error message when an unsupported file type is uploaded to the Proof of Ownership field on the Certificate Requirements.</t>
  </si>
  <si>
    <t xml:space="preserve">Verify that the system accepts and successfully uploads a valid file (.jpg, .png, .docx, or .pdf) for the Contract to Sell field on the Certificate Requirements.
</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</si>
  <si>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.jpg, .pdf, or .docx file to the Contract to Sell field.
11. Fill other required fields with valid files.
12. Click "Submit."</t>
  </si>
  <si>
    <t xml:space="preserve">These are the following details for the certification requirements. All fields are mandatory, and the system will not accept submission without uploading the required documents. Valid file types include .jpg, .png, .docx, or .pdf: 
Certification Requirements
Note: All fields are mandatory. The system will not accept the submission if a document is not uploaded. Hover over the information icon to see the list of Valid IDs. (information icon)
a) Contract of Lease
jpg, png, docx or pdf files only 
File
Upload File button
b) Deed of Absolute Sale (DOAS)
jpg, png, docx or pdf files only 
File
Upload File button
c) Proof of Ownership
jpg, png, docx or pdf files only 
File
Upload File button
d) Contract to Sell
jpg, png, docx or pdf files only 
File
Upload File button
Contract to Sell field:
• Accepts only valid file types: .jpg, .png, .docx, .pdf.
</t>
  </si>
  <si>
    <t>Verify that clicking the 'X' button in the upload field successfully removes the selected file on the Contract of Sell upload field.</t>
  </si>
  <si>
    <t>Verify that the system prevents form submission and displays a validation error when the Contract to Sell upload field is left blank on the Certificate Requirements.</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</si>
  <si>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Leave the Contract to Sell field blank.
11. Fill other required fields with valid files.
12. Click "Submit."</t>
  </si>
  <si>
    <t xml:space="preserve">These are the following details for the certification requirements. All fields are mandatory, and the system will not accept submission without uploading the required documents. Valid file types include .jpg, .png, .docx, or .pdf: 
Certification Requirements
Note: All fields are mandatory. The system will not accept the submission if a document is not uploaded. Hover over the information icon to see the list of Valid IDs. (information icon)
a) Contract of Lease
jpg, png, docx or pdf files only 
File
Upload File button
b) Deed of Absolute Sale (DOAS)
jpg, png, docx or pdf files only 
File
Upload File button
c) Proof of Ownership
jpg, png, docx or pdf files only 
File
Upload File button
d) Contract to Sell
jpg, png, docx or pdf files only 
File
Upload File button
Contract to Sell field:
• Blank uploads trigger a required field validation error, blocking submission "Please upload a Contract of Lease document in .jpg, .png, .docx, or .pdf format only." and blocks submission.
</t>
  </si>
  <si>
    <t>Verify that the system rejects and displays an error message when an unsupported file type is uploaded to the Contract to Sell field on the Certificate Requirements.</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</si>
  <si>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.exe or .zip (invalidfile) to the Contract to Sell field.
11. Fill other required fields with valid files.
12. Click "Submit."</t>
  </si>
  <si>
    <t xml:space="preserve">These are the following details for the certification requirements. All fields are mandatory, and the system will not accept submission without uploading the required documents. Valid file types include .jpg, .png, .docx, or .pdf: 
Certification Requirements
Note: All fields are mandatory. The system will not accept the submission if a document is not uploaded. Hover over the information icon to see the list of Valid IDs. (information icon)
a) Contract of Lease
jpg, png, docx or pdf files only 
File
Upload File button
b) Deed of Absolute Sale (DOAS)
jpg, png, docx or pdf files only 
File
Upload File button
c) Proof of Ownership
jpg, png, docx or pdf files only 
File
Upload File button
d) Contract to Sell
jpg, png, docx or pdf files only 
File
Upload File button
Contract to Sell field:
• Uploading an invalid file type (e.g., .exe, .zip) triggers a clear validation error message "Please upload a Contract of Lease document in .jpg, .png, .docx, or .pdf format only." and blocks submission.
</t>
  </si>
  <si>
    <t xml:space="preserve">Verify that selecting “Yes” for “Are you a Company/Bank Developer?” displays the "Secretary’s Certificate and one (1) employee ID" </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</si>
  <si>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Yes for “Are you a Company/Bank Developer?”
12. Click the Upload button for:
       • Secretary’s Certificate
       • Employee ID
13. Fill out all other required fields
14. Click the Submit button.</t>
  </si>
  <si>
    <t xml:space="preserve">When the user selects “Yes” for the question “Are you a Company/Bank Developer?”, the system should: 
A new section labeled “Secretary’s Certificate and one (1) employee ID” should appear immediately without requiring a page refresh or redirection.
Each upload field must contain:
• A File label identifying the required document.
• A note under or beside each field:
"jpg, png, docx or pdf files only"
• A button or area labeled “Upload File” to upload the supported file. 
</t>
  </si>
  <si>
    <t>Verify that selecting 'Yes' for 'Are you a Company/Bank Developer?' allows successful upload of valid file types (e.g., .png, .jpg, .docx, .pdf) in the 'Secretary’s Certificate and one (1) employee ID' upload field.</t>
  </si>
  <si>
    <t>Verify that the form prevents submission when “Are you a Company/Bank Developer?” is Yes but "Secretary’s Certificate and one (1) employee ID" files are not uploaded.</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</si>
  <si>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Yes for “Are you a Company/Bank Developer?”
12. Do not upload any files to:
       • Secretary’s Certificate
       • Employee ID
13. Fill out all other required fields.
14. Click Submit.</t>
  </si>
  <si>
    <t xml:space="preserve">When the user selects "Yes" for the "Are you a Company/Bank Developer?" question and does not upload the required files under the "Secretary’s Certificate and one (1) employee ID" section: 
A new section labeled “Secretary’s Certificate and one (1) employee ID” should immediately appear on the form without requiring a page reload.
Each upload field must contain:
• A File label identifying the required document.
• A note under or beside each field:
"jpg, png, docx or pdf files only"
• A button or area labeled “Upload File” to upload the supported file. 
Upon clicking Submit, the system should detect that the Secretary’s Certificate and/or Employee ID files have not been uploaded.
The form submission must be blocked.
A clear and specific error message should be displayed near each empty file upload field, such as:
“Please upload the Secretary’s Certificate and Employee ID.”
</t>
  </si>
  <si>
    <t>Verify that clicking the 'X' button in the upload field successfully removes the selected file on the Secretary's Certificate and one (1) employee ID upload field.</t>
  </si>
  <si>
    <t>Verify that the system rejects unsupported file types for “Are you a Company/Bank Developer?” under "Secretary’s Certificate and one (1) employee ID"  uploads.</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</si>
  <si>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Yes for “Are you a Company/Bank Developer?”
12. Upload unsupported file types (e.g., .exe, .zip, .js) to:
       • Secretary’s Certificate
       • Employee ID
13. Complete other required fields.
14. Click Submit.</t>
  </si>
  <si>
    <t>When the user selects "Yes" for the "Are you a Company/Bank Developer?" question and does not upload the required files under the "Secretary’s Certificate and one (1) employee ID" section: 
A new section labeled “Secretary’s Certificate and one (1) employee ID” should immediately appear on the form without requiring a page reload.
Each upload field must contain:
• A File label identifying the required document.
• A note under or beside each field:
"jpg, png, docx or pdf files only"
• A button or area labeled “Upload File” to upload the supported file. 
If the user tries to upload an unsupported file format (e.g., .exe, .txt, .zip), an immediate inline warning should appear:
• The file must be rejected and not attached to the form.</t>
  </si>
  <si>
    <t xml:space="preserve">Verify that the user is able to select “No” for “Are you a Company/Bank Developer?”
</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</si>
  <si>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Fill out all remaining required fields.
13. Click Submit.</t>
  </si>
  <si>
    <t>When the user clicks or selects the “No” option for the question “Are you a Company/Bank Developer?”:
• The system should register the selection without delay or requiring a page reload.
• The selection should be visually confirmed (e.g., radio button becomes filled or highlighted).
• The “Secretary’s Certificate and one (1) employee ID” section should not appear at all if it hasn't already been shown.</t>
  </si>
  <si>
    <t xml:space="preserve">Verify that selecting “Yes” for “Is this a Loan Mortgage?” displays the "Photocopy of Loan Agreement" </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</si>
  <si>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Yes for “Are you a Company/Bank Developer?”
12. On the upload button for "Secretary’s Certificate and one (1) employee ID", the user must upload files for both:
       • Secretary’s Certificate
       • Employee ID
13. Select Yes for “Is this a Loan Mortgage?"
14. On the upload button for "Photocopy of Loan Agreement", the user must upload a valid file to proceed with the form submission.
15. Fill out all other required fields
16. Click the Submit button.</t>
  </si>
  <si>
    <t xml:space="preserve">When the user selects “Yes” for the question “Is this a Loan Mortgage?”, the system should: 
A new section labeled “Photocopy of Loan Agreement” should appear immediately without requiring a page refresh or redirection.
Each upload field must contain:
• A File label identifying the required document.
• A note under or beside each field:
"jpg, png, docx or pdf files only"
• A button or area labeled “Upload File” to upload the supported file. 
</t>
  </si>
  <si>
    <t xml:space="preserve">Verify that the user is able to select  “No” for “Is this a Loan Mortgage?” </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</si>
  <si>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12. Fill out all remaining required fields.
13. Click Submit button. </t>
  </si>
  <si>
    <t>When the user clicks or selects the “No” option for the question “Is this a Loan Mortgage?”:
• The system should register the selection without delay or requiring a page reload.
• The selection should be visually confirmed (e.g., radio button becomes filled or highlighted).
• The “Photocopy of Loan Agreement” section should not appear at all if it hasn't already been shown.</t>
  </si>
  <si>
    <t>Verify that selecting “Yes” for “Is this a Loan Mortgage?” allows successful upload of valid file types in the "Photocopy of Loan Agreement" upload field.</t>
  </si>
  <si>
    <t>Verify that clicking the 'X' button in the "Photocopy of Loan Agreement" upload field successfully removes the selected file.</t>
  </si>
  <si>
    <t>Verify that submission is blocked when “Is this a Loan Mortgage?” is Yes but the Photocopy of Loan Agreement is not uploaded.</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</si>
  <si>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Yes for “Is this a Loan Mortgage?”
13. Do not upload any file to the Photocopy of Loan Agreement field.
14. Fill out the remaining required fields.
15. Click Submit.</t>
  </si>
  <si>
    <t xml:space="preserve">When the user selects "Yes" for the "Is this a Loan Mortgage?" question and does not upload the required files under the "Photocopy of Loan Agreement" section: 
A new section labeled “Photocopy of Loan Agreement” should immediately appear on the form without requiring a page reload.
Each upload field must contain:
• A File label identifying the required document.
• A note under or beside each field:
"jpg, png, docx or pdf files only"
• A button or area labeled “Upload File” to upload the supported file. 
Upon clicking Submit, the system should detect that the Photocopy of Loan Agreement files have not been uploaded.
The form submission must be blocked.
A clear and specific error message should be displayed near each empty file upload field, such as:
“Please upload the Photocopy of Loan Agreement”
</t>
  </si>
  <si>
    <t>Verify That the User Is Unable to Submit If the Checkbox for “I Agree to the Terms &amp; Conditions of the City of Sta. Rosa” Is Not Selected</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</si>
  <si>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Yes for “Is this a Loan Mortgage?”
13. Attempt to upload an invalid file type (e.g., .exe, .txt, .zip) in the Photocopy of Loan Agreement field. 
14. Fill out the remaining required fields.
15. Do not check the I agree to the Terms &amp; Conditions of the City of Sta Rosa
16. Click Submit.</t>
  </si>
  <si>
    <t>The system prevents the form submission.
An appropriate validation message is displayed, such as:
“You must agree to the Terms &amp; Conditions of the City of Sta. Rosa before submitting.”
The Submit button remains disabled or the submission is blocked until the checkbox is selected.</t>
  </si>
  <si>
    <t xml:space="preserve">Verify That the User Can Save the Certificate Application Form as Draft
</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</si>
  <si>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Yes for “Is this a Loan Mortgage?”
13. Attempt to upload an invalid file type (e.g., .exe, .txt, .zip) in the Photocopy of Loan Agreement field. 
14. Fill out the remaining required fields.
15. Click the  checkbox the I agree to the Terms &amp; Conditions of the City of Sta Rosa
16. Click Save as Draft.</t>
  </si>
  <si>
    <t>The system saves the current state of the form without requiring all mandatory fields to be completed.
The user can later retrieve and continue editing the saved draft.
No validation errors are triggered during draft saving.</t>
  </si>
  <si>
    <t xml:space="preserve">Verify That the User Can Successfully Submit the Form With All Valid and Required Data
</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</si>
  <si>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Yes for “Is this a Loan Mortgage?”
13. Attempt to upload an invalid file type (e.g., .exe, .txt, .zip) in the Photocopy of Loan Agreement field. 
14. Fill out the remaining required fields.
15. Click the  checkbox the I agree to the Terms &amp; Conditions of the City of Sta Rosa
16. Click Submit.</t>
  </si>
  <si>
    <t>The system validates all inputs and uploads.
The form is successfully submitted without errors.
The user is redirected or given the option to view the submitted application status.</t>
  </si>
  <si>
    <t>Verify That the Form Submission Is Blocked If Any Required Fields or Validations Are Missing or Invalid</t>
  </si>
  <si>
    <t>The system prevents form submission.
Appropriate validation error messages appear next to each missing or invalid field (e.g., “This field is required,” “Please upload a valid file in .jpg, .png, .docx, or .pdf format”).
The user remains on the form page until all errors are corrected.
The Submit button remains disabled or the submission does not proceed until all validations pass.</t>
  </si>
  <si>
    <t xml:space="preserve">Verify that the user receives an SMS when the request for Certificate of True Copy of Tax Declaration is saved as Draft        
</t>
  </si>
  <si>
    <t>1. Fill out the needed requirement on the Certificate of Application form
2. Click Save a Draft button
3. Navigate the SMS alert from STA ROSA</t>
  </si>
  <si>
    <t xml:space="preserve">The system shall send an SMS notification to the registered mobile number with the following message:
• Santa Rosa Assessor’s Office: Your certificate request &lt;$request_id&gt; has been received and saved as Draft. You will be notified of further updates.
The system shall send an email notification to the registered email address with the following details:
Subject:
Acknowledgement of Your Certificate Request – &lt;$request_id&gt;
Hi &lt;$name&gt;,
Good day!
This is to acknowledge that we have successfully received your certificate request. It is now in the queue and will be routed to the City Assessor's Office for evaluation.
REQUEST DETAILS  
Request ID: &lt;$request_id&gt;  
Transaction Date: &lt;$transaction_date&gt;  
Certificates Requested: &lt;$certificates_requested&gt;  
You will receive SMS and email notifications for any updates related to your request.  
Thank you and have a great day!
Sincerely yours,  
Santa Rosa Assessor's Office Administrator
</t>
  </si>
  <si>
    <t>Verify that the user receives an Email when the request for Certificate of True Copy of Tax Declaration is saved as Draft</t>
  </si>
  <si>
    <t>1. Fill out the needed requirement on the Certificate of Application form
2. Click Save a Draft button
3. Navigate the email alert from STA ROSA</t>
  </si>
  <si>
    <t xml:space="preserve">The system shall send an email  with the following message:
• Santa Rosa Assessor’s Office: Your certificate request &lt;$request_id&gt; has been received and saved as Draft. You will be notified of further updates.
The system shall send an email notification to the registered email address with the following details:
Subject:
Acknowledgement of Your Certificate Request – &lt;$request_id&gt;
Hi &lt;$name&gt;,
Good day!
This is to acknowledge that we have successfully received your certificate request. It is now in the queue and will be routed to the City Assessor's Office for evaluation.
REQUEST DETAILS  
Request ID: &lt;$request_id&gt;  
Transaction Date: &lt;$transaction_date&gt;  
Certificates Requested: &lt;$certificates_requested&gt;  
You will receive SMS and email notifications for any updates related to your request.  
Thank you and have a great day!
Sincerely yours,  
Santa Rosa Assessor's Office Administrator
</t>
  </si>
  <si>
    <t>Verify that the user receives an SMS when status is changed to Pending Review for the Certificate of True Copy of Tax Declaration request</t>
  </si>
  <si>
    <t>1. Fill out all required fields in the Certificate of Application form.
2. Click the Submit button.
3. Wait for status change notification.</t>
  </si>
  <si>
    <t>The system shall send an SMS notification to the registered mobile number with the following message:
• Santa Rosa Assessor’s Office: Assessor's Office: Certificate Request &lt;$request_id&gt; Received - Pending Review
The system shall send an email notification to the registered email address with the following details:
Hi &lt;$name&gt;, Good day!
This is to acknowledge that we have successfully received your certificate request. It is now in the queue and will be routed to the City Assessor's Office for evaluation.
Request ID: &lt;$request_id&gt;
Transaction Date: &lt;$transaction_date&gt;
Certificates Requested: &lt;$certificates_requested&gt;
You will receive SMS and email notifications for any updates related to your request.</t>
  </si>
  <si>
    <t>Verify that the user receives an Email when status is changed to Pending Review for the Certificate of True Copy of Tax Declaration request</t>
  </si>
  <si>
    <t>The system shall send an Email notification to the registered mobile number with the following message:
• Santa Rosa Assessor’s Office: Assessor's Office: Certificate Request &lt;$request_id&gt; Received - Pending Review
The system shall send an email notification to the registered email address with the following details:
Hi &lt;$name&gt;, Good day!
This is to acknowledge that we have successfully received your certificate request. It is now in the queue and will be routed to the City Assessor's Office for evaluation.
Request ID: &lt;$request_id&gt;
Transaction Date: &lt;$transaction_date&gt;
Certificates Requested: &lt;$certificates_requested&gt;
You will receive SMS and email notifications for any updates related to your request.</t>
  </si>
  <si>
    <t>Verify SMS is sent when status is changed to Under Review for the Certificate of True Copy of Tax Declaration</t>
  </si>
  <si>
    <t>The system shall send an email notification to the registered email address of the applicant.</t>
  </si>
  <si>
    <t>Verify Email is sent when status is changed to Under Review for the Certificate of True Copy of Tax Declaration</t>
  </si>
  <si>
    <t>Verify SMS is sent when status is Requires Changes for the Certificate of True Copy of Tax Declaration request</t>
  </si>
  <si>
    <t>Verify Email is sent when status is Requires Changes for the Certificate of True Copy of Tax Declaration request</t>
  </si>
  <si>
    <t>Verify SMS is sent when status is Awaiting Payment for the Certificate of True Copy of Tax Declaration</t>
  </si>
  <si>
    <t>Verify Email is sent when status is Awaiting Payment for the Certificate of True Copy of Tax Declaration</t>
  </si>
  <si>
    <t>Verify SMS is sent when status is Payment Verification for the Certificate of True Copy of Tax Declaration</t>
  </si>
  <si>
    <t>Verify SMS is sent when status is Payment Verified for the Certificate of True Copy of Tax Declaration</t>
  </si>
  <si>
    <t>Verify Email is sent when status is Payment Verified for the Certificate of True Copy of Tax Declaration</t>
  </si>
  <si>
    <t>Verify SMS is sent when status is Certificate for Claiming for the Certificate of True Copy of Tax Declaration</t>
  </si>
  <si>
    <t>Verify Email is sent when status is Certificate for Claiming for the Certificate of True Copy of Tax Declaration</t>
  </si>
  <si>
    <t>Verify SMS is sent when status is Certificate Claimed for the Certificate of True Copy of Tax Declaration</t>
  </si>
  <si>
    <t>Verify Email is sent when status is Certificate Claimed for the Certificate of True Copy of Tax Declaration</t>
  </si>
  <si>
    <r>
      <rPr>
        <rFont val="Inter"/>
        <b/>
        <color theme="1"/>
        <sz val="12.0"/>
      </rPr>
      <t xml:space="preserve">USER STORY: 
</t>
    </r>
    <r>
      <rPr>
        <rFont val="Inter"/>
        <color theme="1"/>
        <sz val="12.0"/>
      </rPr>
      <t xml:space="preserve">As a property owner,
I want to apply for a </t>
    </r>
    <r>
      <rPr>
        <rFont val="Inter"/>
        <b/>
        <color theme="1"/>
        <sz val="12.0"/>
      </rPr>
      <t>Certificate of True Copy of Tax Declaration</t>
    </r>
    <r>
      <rPr>
        <rFont val="Inter"/>
        <color theme="1"/>
        <sz val="12.0"/>
      </rPr>
      <t xml:space="preserve">
So that I can process my property documentation
And have it claimed by an A</t>
    </r>
    <r>
      <rPr>
        <rFont val="Inter"/>
        <b/>
        <color theme="1"/>
        <sz val="12.0"/>
      </rPr>
      <t>uthorized Representative</t>
    </r>
    <r>
      <rPr>
        <rFont val="Inter"/>
        <color theme="1"/>
        <sz val="12.0"/>
      </rPr>
      <t xml:space="preserve"> on my behalf.</t>
    </r>
  </si>
  <si>
    <t>Verify that the user is able to select both the "Certificate of True Copy of Tax Declaration" checkbox under the Type of Certificate section.</t>
  </si>
  <si>
    <t>1. Search Assessor office login
2. Login with registered email and password and checkbox of T&amp;C. 
3. Click Submit button
4. Check OTP Verification sent on email. 
5. Put the OTP on the Verification 
6. Click the "New Request" button
7. Click the Certificate of True Copy of Tax Declaration under Type of Certificate
8. Click the transfer of Tax Declaration
9. Chose the Authorized Representative option under Claiming</t>
  </si>
  <si>
    <t>Type of Certificate:
The user successfully selects both of the following checkboxes:
a) Certificate of True Copy of Tax Declaration
Claiming Method:
-- The user selects the Authorized Representative radio button.
ID of Property Owner with 3 Signatures:
- The required document is successfully uploaded via the drag-and-drop or upload file field.
Certification Requirements:
Note: All fields are mandatory. The system will not accept the submission if a document is not uploaded. Hover over the
information icon to see the list of Valid IDs.
The user uploads valid files (in jpg, png, docx, or pdf format) for all of the following:
a) Contract of Lease
b) Deed of Absolute Sale (DOAS)
c) Proof of Ownership
d) Contract to Sell
Are you a Company/Bank Developer? 
Yes No option → Yes
Secretary’s Certificate and one (1)employee ID
jpg, png, docx or pdf files only
File
Upload file button
Company/Bank Developer Section
When the user selects “Yes” for “Are you a Company/Bank Developer?”:
• The system dynamically displays a new section labeled “Secretary’s Certificate and one (1) employee ID” without page reload.
• The user is required to upload both the Secretary’s Certificate and Employee ID.
• Only valid formats (.jpg, .png, .docx, or .pdf) are accepted.
• Submission is blocked if either document is not uploaded.
Loan Mortgage Section
When the user selects “Yes” for “Is this a Loan Mortgage?”:
• A new upload field labeled “Photocopy of Loan Agreement” is immediately displayed.
• Only files in .jpg, .png, .docx, or .pdf format are accepted.
• Submission is blocked if the field is left empty.
Authorized Representative Requirements
The system displays the following required fields when the Authorized Representative option is selected:
• ID of Representative with 3 Signatures
• Special Power of Attorney (SPA)
• Authorization Letter
- Valid formats: .jpg, .png, .docx, or .pdf.
- The system must confirm all files are uploaded and valid before allowing submission.
Terms and Conditions Agreement
• The checkbox labeled “I agree to the Terms &amp; Conditions of the City of Sta Rosa” must be selected.
- If unchecked, the Submit button remains disabled or submission is blocked with a prompt to accept the terms.
Save Draft and Submit button
If all required fields are completed, valid documents are uploaded, and the terms are agreed to:
• The user can click Save as Draft to save the form without submitting.
• The user can click Submit to finalize and submit the application.</t>
  </si>
  <si>
    <t xml:space="preserve">Verify that the user is able to select the “Authorized Representative” radio button under the Claiming section.
</t>
  </si>
  <si>
    <t>Verify that Authorized Representative Requirements appear when "Authorized Representative" is selected on the Claiming</t>
  </si>
  <si>
    <t>Verify that the ID of Property Owner with three (3) Signatures can be successfully uploaded in valid formats (e.g. jpg, png, docx, pdf) when applying for Certificate of True Copy of Tax Declaration or Transfer of Tax Declaration with “Authorize Representative” claiming method</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</si>
  <si>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Click the information icon beside the note in the Certificate Requirements section.
</t>
  </si>
  <si>
    <t>The user shall be able to view the name of the file that has been uploaded, displayed below the "ID of Property Owner with three (3) Signatures" upload field.</t>
  </si>
  <si>
    <t xml:space="preserve">1. Search for Assessor Office login page.
2. Login using registered email and password, and check the Terms &amp; Conditions checkbox.
3. Click the Submit button.
4. Check for OTP verification sent via email.
5. Enter the OTP on the Verification page.
6. Click the New Request button.
7. Select Certificate of True Copy of Tax Declaration under Type of Certificate.
8. Select Transfer of Tax Declaration under Type of Certificate.
9. Choose the Personal option under Claiming.
10. Upload a valid file for "ID of Property Owner with three (3) Signatures."
11. Click the “X” button beside the uploaded file to remove it.
</t>
  </si>
  <si>
    <t xml:space="preserve">1. Search for Assessor Office login page.
2. Login using registered email and password, and check the Terms &amp; Conditions checkbox.
3. Click the Submit button.
4. Check for OTP verification sent via email.
5. Enter the OTP on the Verification page.
6. Click the New Request button.
7. Select Certificate of True Copy of Tax Declaration under Type of Certificate.
8. Select Transfer of Tax Declaration under Type of Certificate.
9. Choose the Personal option under Claiming.
10. Upload a valid file for "ID of Property Owner with three (3) Signatures."
11. Attempt to upload a second file for the same field.
</t>
  </si>
  <si>
    <t xml:space="preserve">1. Search for Assessor Office login page.
2. Login using registered email and password, and check the Terms &amp; Conditions checkbox.
3. Click the Submit button.
4. Check for OTP verification sent via email.
5. Enter the OTP on the Verification page.
6. Click the New Request button.
7. Select Certificate of True Copy of Tax Declaration under Type of Certificate.
8. Select Transfer of Tax Declaration under Type of Certificate.
9. Choose the Personal option under Claiming.
10. Upload a valid file for "ID of Property Owner with three (3) Signatures."
11. Upload a new file for the same field and observe the system’s behavior.
</t>
  </si>
  <si>
    <t>Verify that clicking the information icon displays the Certificate Requirements pop-up message.</t>
  </si>
  <si>
    <t>1. User must be on the Sta. Rosa Payroll Portal.
2. User must be on the Login page.
3. User must be logged in the Assessor's Office portal
4. User must be on the request page of Certificate of Application
5. Scroll down to the see the Certificate Requirements
6. User must click the information icon</t>
  </si>
  <si>
    <t xml:space="preserve">Upon accessing the Certificate Requirements section, the system shall display a pop-up containing the following information:
Certificate Requirements
• Applicable for the following certificate types:
• Certificate of True Copy of Tax Declaration
• Certificate of Aggregate Landholdings
• Certification of No-Property
• Other Certifications
Required Documents:
• ID of the Property Owner with three (3) signatures
• Original Copy of the Contract of Lease
• Original Copy of the Deed of Absolute Sale (DOAS)
• Original Copy of the Contract to Sell
• Proof of Ownership
• If Company / Bank Developer: Secretary’s Certificate and one (1) employee ID
• If Loan Mortgage: Photocopy of Loan Agreement
Transfer of Tax Declaration
Required Documents:
• ID of the Property Owner with three (3) signatures
• Certified True Copy of Title
• Xerox Copy of Deed of Sale / Donation / Extra Judicial Settlement
• Xerox Copy of Real Property Tax Receipt or Tax Clearance
• Xerox of Transfer Tax Receipt or Certification of Transfer Tax
• Xerox Copy of C.A.R. (B.I.R.)
• Receipt from the Register of Deeds for the New Title
• For subdivided lots: Copy of Subdivision Plan
• For canceled titles: Certified Canceled Title
• For foreclosed lots: Certification of Sale and Affidavit of Consolidation of Ownership
Additional Documents for Authorized Representative
Required Documents:
• ID of the Authorized Representative with three (3) signatures
• Original Copy of the Authorization Letter
• Original Copy of the Special Power of Attorney (SPA)
A Close button shall be present to allow users to dismiss the pop-up message.
</t>
  </si>
  <si>
    <t>Verify that the form prevents submission when the required ID of Property Owner with three (3) Signatures is not uploaded for Certificate of True Copy or Transfer of Tax Declaration</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</si>
  <si>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Do not upload any file in the ID of Property Owner with three (3) Signatures upload field.
11. Click the Submit button</t>
  </si>
  <si>
    <t>The form does not allow submission unless the required file for the ID of Property Owner with three (3) Signatures is uploaded.
A clear validation message or notification is displayed near the upload field or as a general alert, stating:
1.) “The ID of Property Owner with three (3) Signatures is required. Please upload jpg, png, docx or pdf files only.”
2.) The user remains on the same form page with all previously entered data preserved, except for the missing required file.
3.) The system blocks submission until a valid file in the accepted formats (.jpg, .png, .docx, .pdf) is uploaded for this required field.</t>
  </si>
  <si>
    <t>Verify that the system displays an error when uploading an unsupported file type (e.g., .exe, .zip) for the ID of Property Owner with three (3) Signatures</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</si>
  <si>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Click the information icon beside the note in the Certificate Requirements section.
11. Attempt to upload an unsupported file type (e.g., .exe or .zip) in the ID of Property Owner with three (3) Signatures upload field.</t>
  </si>
  <si>
    <t xml:space="preserve">The system shall immediately reject any upload attempt of unsupported file types for the “ID of Property Owner with three (3) Signatures” field (e.g., .exe, .zip).
A clear and specific error message is displayed near the upload field or as a pop-up alert, stating:
1.) “The ID of Property Owner with three (3) Signatures is required. Please upload jpg, png, docx or pdf files only.”
2.) The unsupported file is not accepted, saved, or queued for submission in the form.
3.) The user remains on the current application page with all previously entered form data preserved and unaffected.
4.) The upload field is cleared of the invalid file, and the system waits for a valid file format to be uploaded.
5.) Submission is blocked until the user uploads a supported and valid file format.
</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</si>
  <si>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Attempt to upload a blank, corrupted, or unreadable file in the ID of Property Owner with three (3) Signatures upload field.
11. Click Submit.</t>
  </si>
  <si>
    <t>Verify that the system accepts and successfully uploads a valid file (.jpg, .png, .docx, or .pdf) for the Contract of Lease field.</t>
  </si>
  <si>
    <t>Verify that the system prevents form submission and displays a validation error when the Contract of Lease upload field is left blank.</t>
  </si>
  <si>
    <t>Verify that the system rejects and displays an error message when an unsupported file type (e.g., .exe, .zip) is uploaded to the Contract of Lease field.</t>
  </si>
  <si>
    <t>Verify that the system accepts and successfully uploads a valid file (.jpg, .png, .docx, or .pdf) for the Deed of Absolute Sale (DOAS) field.</t>
  </si>
  <si>
    <t>Verify that the system prevents form submission and displays a validation error when the Deed of Absolute Sale (DOAS) upload field is left blank.</t>
  </si>
  <si>
    <t>Verify that the system rejects and displays an error message when an unsupported file type is uploaded to the Deed of Absolute Sale (DOAS) field.</t>
  </si>
  <si>
    <t>Verify that the system accepts and successfully uploads a valid file (.jpg, .png, .docx, or .pdf) for the Proof of Ownership field.</t>
  </si>
  <si>
    <t>Verify that the system prevents form submission and displays a validation error when the Proof of Ownership upload field is left blank.</t>
  </si>
  <si>
    <t>Verify that the system rejects and displays an error message when an unsupported file type is uploaded to the Proof of Ownership field.</t>
  </si>
  <si>
    <t xml:space="preserve">Verify that the system accepts and successfully uploads a valid file (.jpg, .png, .docx, or .pdf) for the Contract to Sell field.
</t>
  </si>
  <si>
    <t>Verify that the system prevents form submission and displays a validation error when the Contract to Sell upload field is left blank.</t>
  </si>
  <si>
    <t>Verify that the system rejects and displays an error message when an unsupported file type is uploaded to the Contract to Sell field.</t>
  </si>
  <si>
    <t>Verify that the user is able to upload files (e.g., .jpg, .png, .docx, or .pdf only) for the "Photocopy of Loan Agreement" field.</t>
  </si>
  <si>
    <t>Verify that selecting “Yes” for “Is this a Loan Mortgage?” displays the "Photocopy of Loan Agreement" upload field.</t>
  </si>
  <si>
    <t>Verify that the user is able to upload only valid file types (.jpg, .png, .docx, or .pdf) in the "Photocopy of Loan Agreement" field.</t>
  </si>
  <si>
    <t>Verify that invalid file (e.g., .exe, .txt, .zip) types are rejected in the "Photocopy of Loan Agreement" upload field.</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</si>
  <si>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Yes for “Is this a Loan Mortgage?”
13. Attempt to upload an invalid file type (e.g., .exe, .txt, .zip) in the Photocopy of Loan Agreement field. 
14. Fill out the remaining required fields.
15. Click Submit.</t>
  </si>
  <si>
    <t>When the user selects "Yes" for the "Is this a Loan Mortgage?" question and does not upload the required files under the "Photocopy of Loan Agreement" section: 
A new section labeled “Photocopy of Loan Agreement” should immediately appear on the form without requiring a page reload.
Each upload field must contain:
• A File label identifying the required document.
• A note under or beside each field:
"jpg, png, docx or pdf files only"
• A button or area labeled “Upload File” to upload the supported file. 
If the user tries to upload an unsupported file format (e.g., .exe, .txt, .zip), an immediate inline warning should appear:
• The file must be rejected and not attached to the form.</t>
  </si>
  <si>
    <t>Verify that the system accepts and successfully uploads a valid file (.jpg, .png, .docx, or .pdf) for the ID of Representative with 3 Signatures field.</t>
  </si>
  <si>
    <t>Verify that the system prevents form submission and displays a validation error when the ID of Representative with 3 Signatures upload field is left blank.</t>
  </si>
  <si>
    <t>Verify that the system rejects and displays an error message when an unsupported file type (e.g., .exe, .zip) is uploaded to the ID of Representative with 3 Signatures field.</t>
  </si>
  <si>
    <t>Verify that the system accepts and successfully uploads a valid file (.jpg, .png, .docx, or .pdf) for the Special Power of Attorney (SPA) field.</t>
  </si>
  <si>
    <t>Authorized Representative Requirements
These are the required documents for the Authorized Representative. All fields are mandatory, and the system will not accept submission unless valid documents are uploaded. Valid file types include .jpg, .png, .docx, or .pdf:
• ID of Representative with 3 Signatures
• Supported file types: jpg, png, docx, or pdf only
• File upload field with an Upload File button
Special Power of Attorney (SPA)
• Supported file types: jpg, png, docx, or pdf only
• File upload field with an Upload File button
Authorization Letter
• Supported file types: jpg, png, docx, or pdf only
• File upload field with an Upload File button
Authorized Representative Requirements Validation:
• If the file upload is left blank, the system triggers a required field validation error with the message:
“Please upload an ID of Representative with 3 Signatures document in .jpg, .png, .docx, or .pdf format only.”
• The system must block submission until a valid file is uploaded."</t>
  </si>
  <si>
    <t>Verify that the system prevents form submission and displays a validation error when the Special Power of Attorney (SPA) upload field is left blank.</t>
  </si>
  <si>
    <t>Verify that the system rejects and displays an error message when an unsupported file type (e.g., .exe, .zip) is uploaded to the Special Power of Attorney (SPA) field.</t>
  </si>
  <si>
    <t>The system rejects the unsupported file upload.
An error message is displayed:
“Please upload an Special Power of Attorney (SPA) document in .jpg, .png, .docx, or .pdf format only.”
The invalid file is not accepted or saved.</t>
  </si>
  <si>
    <t>Verify that the system accepts and successfully uploads a valid file (.jpg, .png, .docx, or .pdf) for the Authorization Letter field.</t>
  </si>
  <si>
    <t>Verify that the system prevents form submission and displays a validation error when the Authorization Letter upload field is left blank.</t>
  </si>
  <si>
    <t>Verify that the system rejects and displays an error message when an unsupported file type (e.g., .exe, .zip) is uploaded to the Authorization Letter field.</t>
  </si>
  <si>
    <t>The system rejects the unsupported file upload.
An error message is displayed:
“Please upload an Authorization Letter document in .jpg, .png, .docx, or .pdf format only.”
The invalid file is not accepted or saved.</t>
  </si>
  <si>
    <t>The system saves the current state of the form without requiring all mandatory fields to be completed.
A confirmation message is displayed, e.g., “Your application has been saved as a draft.”
The user can later retrieve and continue editing the saved draft.
No validation errors are triggered during draft saving.</t>
  </si>
  <si>
    <t>The system validates all inputs and uploads.
The form is successfully submitted without errors.
A confirmation message is displayed, e.g., “Your application has been successfully submitted.”
The user is redirected or given the option to view the submitted application status.</t>
  </si>
  <si>
    <t>The system shall send an SMS notification to the registered email address of the applicant.</t>
  </si>
  <si>
    <t>Verify Email is sent when status is Payment Verification for the Certificate of True Copy of Tax Declaration</t>
  </si>
  <si>
    <r>
      <rPr>
        <rFont val="Inter"/>
        <b/>
        <color theme="1"/>
        <sz val="12.0"/>
      </rPr>
      <t xml:space="preserve">USER STORY: 
</t>
    </r>
    <r>
      <rPr>
        <rFont val="Inter"/>
        <color theme="1"/>
        <sz val="12.0"/>
      </rPr>
      <t xml:space="preserve">As a property owner,
I want to apply for a </t>
    </r>
    <r>
      <rPr>
        <rFont val="Inter"/>
        <b/>
        <color theme="1"/>
        <sz val="12.0"/>
      </rPr>
      <t>Transfer of Tax Declaration</t>
    </r>
    <r>
      <rPr>
        <rFont val="Inter"/>
        <color theme="1"/>
        <sz val="12.0"/>
      </rPr>
      <t xml:space="preserve">
So that I can process my property documentation
And claim the certificate in </t>
    </r>
    <r>
      <rPr>
        <rFont val="Inter"/>
        <b/>
        <color theme="1"/>
        <sz val="12.0"/>
      </rPr>
      <t xml:space="preserve">Personal.
</t>
    </r>
  </si>
  <si>
    <t>Verify that the user is able to select both the "Transfer of Tax Declaration" checkbox under the Type of Certificate section.</t>
  </si>
  <si>
    <t>Verify that the “Transfer of Tax Declaration Requirements”  are displayed when the “Transfer of Tax Declaration” option is selected under the Type of Certificate.</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</si>
  <si>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Tax Declaration under Type of Certificate.  under Type of Certificate. 
8. Choose the Personal option under Claiming. 
9. Upload the ID of Property Owner with 3 Signatures
10. Transfer of Tax Declaration Requirements
11. Verify that the Transfer of Tax Declaration Requirements section appears with the following fields:
a) Upload field for Certified True Copy of Title (accepted file types: jpg, png, docx, pdf).
b) Upload field for Xerox Copy of Deed of Sale/Donation/Extra Judicial Settlement (accepted file types: jpg, png, docx, pdf).
c) Upload field for Receipt from RD for New Title (accepted file types: jpg, png, docx,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Upload field for Xerox of Transfer Tax Receipt or Certification of Transfer Tax (accepted file types: jpg, png, docx, pdf).
j) Upload field for Copy of Subdivision Plan (accepted file types: jpg, png, docx, pdf).
k) Upload field for Certified Cancelled Title (accepted file types: jpg, png, docx, pdf).
l) Upload field for Certification of Sale (accepted file types: jpg, png, docx, pdf).
m) Upload field for Affidavit of Consolidation of Ownership (accepted file types: jpg, png, docx, pdf).
15. Upload valid files (jpg, png, docx, or pdf) for all the mandatory upload fields.
16. For the radio button fields (d, e, f), select Yes or No as appropriate.
17. Accept the "I agree to the Terms &amp; Conditions of the City of Sta Rosa"
17. Click Submit.</t>
  </si>
  <si>
    <t>Transfer of Tax Declaration Requirements
These are the required documents and inputs for the Transfer of Tax Declaration application. All fields are mandatory, and the system will not accept submission unless valid documents are uploaded or valid options selected. Valid file types include .jpg, .png, .docx, or .pdf.
a) Certified True Copy of Title
jpg, png, docx or pdf files only
File
Upload File button
b) Xerox Copy of Deed of Sale / Donation / Extra Judicial Settlement
jpg, png, docx or pdf files only
File
Upload File button
c) Receipt from RD for New Title
jpg, png, docx or pdf files only
File
Upload File button
d) Is the lot subdivided?
Yes or No (radio button)
e) Has the Title been cancelled?
Yes or No (radio button)
f) Is the lot foreclosed?
Yes or No (radio button)
g) Xerox Copy of C.A.R. (BIR)
jpg, png, docx or pdf files only
File
Upload File button
h) Xerox Copy of Real Property Tax Receipt or Tax Clearance
jpg, png, docx or pdf files only
File
Upload File button
i) Xerox of Transfer Tax Receipt or Certification of Transfer Tax
jpg, png, docx or pdf files only
File
Upload File button
j) Copy of Subdivision Plan
jpg, png, docx or pdf files only
File
Upload File button
k) Certified Cancelled Title
jpg, png, docx or pdf files only
File
Upload File button
l) Certification of Sale
jpg, png, docx or pdf files only
File
Upload File button
m) Affidavit of Consolidation of Ownership
jpg, png, docx or pdf files only
File
Upload File button
Additional Information:
All fields are mandatory; submission will be blocked if any document is not uploaded or any radio button question is unanswered.
Valid file types for uploads: .jpg, .png, .docx, .pdf only.
Upload buttons allow users to browse and select files for each respective requirement.
Checkbox:
I agree to the Terms &amp; Conditions of the City of Sta Rosa
Form Action Buttons:
a) Save as Draft
b) Submit</t>
  </si>
  <si>
    <t>Verify that the user can upload a valid file (.jpg, .png, .docx, .pdf) for Certified True Copy of Title and the system accepts the file.</t>
  </si>
  <si>
    <t>Verify that the system rejects and displays an error when an invalid file type (e.g., .exe, .zip) is uploaded for Certified True Copy of Title.</t>
  </si>
  <si>
    <t>Transfer of Tax Declaration Requirements
These are the required documents and inputs for the Transfer of Tax Declaration application. All fields are mandatory, and the system will not accept submission unless valid documents are uploaded or valid options selected. Valid file types include .jpg, .png, .docx, or .pdf.
a) Certified True Copy of Title
 jpg, png, docx or pdf files only
 File
 Upload File button
 • Attempt to upload an invalid file type (e.g., malicious.exe or archive.zip)
 • Expected Result:
  – The system displays a validation error message such as: “Invalid file type. Please upload a .jpg, .png, .docx, or .pdf file.”
  – The file is not uploaded.
  – The field remains empty or reverts to its default state.
  – No file name or preview appears.
  – Submit button remains disabled (or submission is blocked upon click).
  – If attempted to submit, a summary or inline error message highlights the Certified True Copy of Title field.
b) Xerox Copy of Deed of Sale / Donation / Extra Judicial Settlement
 jpg, png, docx or pdf files only
 File
 Upload File button
c) Receipt from RD for New Title
 jpg, png, docx or pdf files only
 File
 Upload File button
d) Is the lot subdivided?
 Yes or No (radio button)
e) Has the Title been cancelled?
 Yes or No (radio button)
f) Is the lot foreclosed?
 Yes or No (radio button)
g) Xerox Copy of C.A.R. (BIR)
 jpg, png, docx or pdf files only
 File
 Upload File button
h) Xerox Copy of Real Property Tax Receipt or Tax Clearance
 jpg, png, docx or pdf files only
 File
 Upload File button
i) Xerox of Transfer Tax Receipt or Certification of Transfer Tax
 jpg, png, docx or pdf files only
 File
 Upload File button
j) Copy of Subdivision Plan
 jpg, png, docx or pdf files only
 File
 Upload File button
k) Certified Cancelled Title
 jpg, png, docx or pdf files only
 File
 Upload File button
l) Certification of Sale
 jpg, png, docx or pdf files only
 File
 Upload File button
m) Affidavit of Consolidation of Ownership
 jpg, png, docx or pdf files only
 File
 Upload File button
Additional Information:
All fields are mandatory; submission will be blocked if any document is not uploaded or any radio button question is unanswered.
Valid file types for uploads: .jpg, .png, .docx, .pdf only.
Upload buttons allow users to browse and select files for each respective requirement.
Checkbox:
I agree to the Terms &amp; Conditions of the City of Sta Rosa
Form Action Buttons:
a) Save as Draft
b) Submit</t>
  </si>
  <si>
    <t>Verify that the form submission is blocked if Certified True Copy of Title file is not uploaded, with a  required message pop-up.</t>
  </si>
  <si>
    <t>A clear validation message or notification is displayed near the upload field or as a general alert, stating:
1.) “The Certified True Copy of Title is required. Please upload jpg, png, docx or pdf files only.”
2.) The user remains on the same form page with all previously entered data preserved, except for the missing required file.
3.) The system blocks submission until a valid file in the accepted formats (.jpg, .png, .docx, .pdf) is uploaded for this required field.</t>
  </si>
  <si>
    <t xml:space="preserve"> Verify that the user can upload a valid file (.jpg, .png, .docx, .pdf) for Xerox Copy of Deed of Sale / Donation / Extra Judicial Settlement and the system accepts the file.</t>
  </si>
  <si>
    <t>Verify that the system rejects and displays an error when an invalid file type is uploaded for Xerox Copy of Deed of Sale / Donation / Extra Judicial Settlement.</t>
  </si>
  <si>
    <t>Transfer of Tax Declaration Requirements
These are the required documents and inputs for the Transfer of Tax Declaration application. All fields are mandatory, and the system will not accept submission unless valid documents are uploaded or valid options selected. Valid file types include .jpg, .png, .docx, or .pdf.
a) Certified True Copy of Title
 jpg, png, docx or pdf files only
 File
 Upload File button
b) Xerox Copy of Deed of Sale / Donation / Extra Judicial Settlement
 jpg, png, docx or pdf files only
 File
 Upload File button
    • Attempt to upload an invalid file type (e.g., malicious.exe or archive.zip)
 • Expected Result:
  – The system displays a validation error message such as: “Invalid file type. Please upload a .jpg, .png, .docx, or .pdf file.”
  – The file is not uploaded.
  – The field remains empty or reverts to its default state.
  – No file name or preview appears.
  – Submit button remains disabled (or submission is blocked upon click).
  – If attempted to submit, a summary or inline error message highlights the Xerox Copy of Deed of Sale/Donation/Extra Judicial Settlement field.
c) Receipt from RD for New Title
 jpg, png, docx or pdf files only
 File
 Upload File button
d) Is the lot subdivided?
 Yes or No (radio button)
e) Has the Title been cancelled?
 Yes or No (radio button)
f) Is the lot foreclosed?
 Yes or No (radio button)
g) Xerox Copy of C.A.R. (BIR)
 jpg, png, docx or pdf files only
 File
 Upload File button
h) Xerox Copy of Real Property Tax Receipt or Tax Clearance
 jpg, png, docx or pdf files only
 File
 Upload File button
i) Xerox of Transfer Tax Receipt or Certification of Transfer Tax
 jpg, png, docx or pdf files only
 File
 Upload File button
j) Copy of Subdivision Plan
 jpg, png, docx or pdf files only
 File
 Upload File button
k) Certified Cancelled Title
 jpg, png, docx or pdf files only
 File
 Upload File button
l) Certification of Sale
 jpg, png, docx or pdf files only
 File
 Upload File button
m) Affidavit of Consolidation of Ownership
 jpg, png, docx or pdf files only
 File
 Upload File button
Additional Information:
All fields are mandatory; submission will be blocked if any document is not uploaded or any radio button question is unanswered.
Valid file types for uploads: .jpg, .png, .docx, .pdf only.
Upload buttons allow users to browse and select files for each respective requirement.
Checkbox:
I agree to the Terms &amp; Conditions of the City of Sta Rosa
Form Action Buttons:
a) Save as Draft
b) Submit</t>
  </si>
  <si>
    <t xml:space="preserve"> Verify that the form submission is blocked if the Xerox Copy of Deed of Sale / Donation / Extra Judicial Settlement file is not uploaded.</t>
  </si>
  <si>
    <t>A clear validation message or notification is displayed near the upload field or as a general alert, stating:
1.) “The Xerox Copy of Deed of Sale/Donation/Extra Judicial Settlement is required. Please upload jpg, png, docx or pdf files only.”
2.) The user remains on the same form page with all previously entered data preserved, except for the missing required file.
3.) The system blocks submission until a valid file in the accepted formats (.jpg, .png, .docx, .pdf) is uploaded for this required field.</t>
  </si>
  <si>
    <t>Verify that the user can upload a valid file (.jpg, .png, .docx, .pdf) for Receipt from RD for New Title and the system accepts the file.</t>
  </si>
  <si>
    <t>Verify that the system rejects and displays an error when an invalid file type is uploaded for Receipt from RD for New Title.</t>
  </si>
  <si>
    <t>Transfer of Tax Declaration Requirements
These are the required documents and inputs for the Transfer of Tax Declaration application. All fields are mandatory, and the system will not accept submission unless valid documents are uploaded or valid options selected. Valid file types include .jpg, .png, .docx, or .pdf.
a) Certified True Copy of Title
 jpg, png, docx or pdf files only
 File
 Upload File button
b) Xerox Copy of Deed of Sale / Donation / Extra Judicial Settlement
 jpg, png, docx or pdf files only
 File
 Upload File button
c) Receipt from RD for New Title
 jpg, png, docx or pdf files only
 File
 Upload File button
    • Attempt to upload an invalid file type (e.g., malicious.exe or archive.zip)
 • Expected Result:
  – The system displays a validation error message such as: “Invalid file type. Please upload a .jpg, .png, .docx, or .pdf file.”
  – The file is not uploaded.
  – The field remains empty or reverts to its default state.
  – No file name or preview appears.
  – Submit button remains disabled (or submission is blocked upon click).
  – If attempted to submit, a summary or inline error message highlights the Receipt from RD for New Title field.
d) Is the lot subdivided?
 Yes or No (radio button)
e) Has the Title been cancelled?
 Yes or No (radio button)
f) Is the lot foreclosed?
 Yes or No (radio button)
g) Xerox Copy of C.A.R. (BIR)
 jpg, png, docx or pdf files only
 File
 Upload File button
h) Xerox Copy of Real Property Tax Receipt or Tax Clearance
 jpg, png, docx or pdf files only
 File
 Upload File button
i) Xerox of Transfer Tax Receipt or Certification of Transfer Tax
 jpg, png, docx or pdf files only
 File
 Upload File button
j) Copy of Subdivision Plan
 jpg, png, docx or pdf files only
 File
 Upload File button
k) Certified Cancelled Title
 jpg, png, docx or pdf files only
 File
 Upload File button
l) Certification of Sale
 jpg, png, docx or pdf files only
 File
 Upload File button
m) Affidavit of Consolidation of Ownership
 jpg, png, docx or pdf files only
 File
 Upload File button
Additional Information:
All fields are mandatory; submission will be blocked if any document is not uploaded or any radio button question is unanswered.
Valid file types for uploads: .jpg, .png, .docx, .pdf only.
Upload buttons allow users to browse and select files for each respective requirement.
Checkbox:
I agree to the Terms &amp; Conditions of the City of Sta Rosa
Form Action Buttons:
a) Save as Draft
b) Submit</t>
  </si>
  <si>
    <t>Verify that the form submission is blocked if the Receipt from RD for New Title file is not uploaded.</t>
  </si>
  <si>
    <t>A clear validation message or notification is displayed near the upload field or as a general alert, stating:
1.) “The Receipt from RD for New Title is required. Please upload jpg, png, docx or pdf files only.”
2.) The user remains on the same form page with all previously entered data preserved, except for the missing required file.
3.) The system blocks submission until a valid file in the accepted formats (.jpg, .png, .docx, .pdf) is uploaded for this required field.</t>
  </si>
  <si>
    <t>Verify that the user must select either Yes or No for Is the lot subdivided? and the form submission is blocked if none is selected.</t>
  </si>
  <si>
    <t xml:space="preserve">Verify that when "Yes" is selected for "Is the lot subdivided?", the "Copy of Subdivision Plan" upload field is displayed.
</t>
  </si>
  <si>
    <t xml:space="preserve">Verify that when "No" is selected for "Is the lot subdivided?", the "Copy of Subdivision Plan" upload field is hidden.
</t>
  </si>
  <si>
    <t>Verify that the user can upload a valid file (.jpg, .png, .docx, .pdf) for Copy of Subdivision Plan and the system accepts the file.</t>
  </si>
  <si>
    <t>Verify that the system rejects and displays an error when an invalid file type is uploaded for Copy of Subdivision Plan.</t>
  </si>
  <si>
    <t>Transfer of Tax Declaration Requirements
These are the required documents and inputs for the Transfer of Tax Declaration application. All fields are mandatory, and the system will not accept submission unless valid documents are uploaded or valid options selected. Valid file types include .jpg, .png, .docx, or .pdf.
a) Certified True Copy of Title
 jpg, png, docx or pdf files only
 File
 Upload File button
b) Xerox Copy of Deed of Sale / Donation / Extra Judicial Settlement
 jpg, png, docx or pdf files only
 File
 Upload File button
c) Receipt from RD for New Title
 jpg, png, docx or pdf files only
 File
 Upload File button
d) Is the lot subdivided?
 Yes or No (radio button)
e) Has the Title been cancelled?
 Yes or No (radio button)
f) Is the lot foreclosed?
 Yes or No (radio button)
g) Xerox Copy of C.A.R. (BIR)
 jpg, png, docx or pdf files only
 File
 Upload File button
h) Xerox Copy of Real Property Tax Receipt or Tax Clearance
 jpg, png, docx or pdf files only
 File
 Upload File button
i) Xerox of Transfer Tax Receipt or Certification of Transfer Tax
 jpg, png, docx or pdf files only
 File
 Upload File button
j) Copy of Subdivision Plan
 jpg, png, docx or pdf files only
 File
 Upload File button
    • Attempt to upload an invalid file type (e.g., malicious.exe or archive.zip)
 • Expected Result:
  – The system displays a validation error message such as: “Invalid file type. Please upload a .jpg, .png, .docx, or .pdf file.”
  – The file is not uploaded.
  – The field remains empty or reverts to its default state.
  – No file name or preview appears.
  – Submit button remains disabled (or submission is blocked upon click).
  – If attempted to submit, a summary or inline error message highlights the Copy of Subdivision Plan field.
k) Certified Cancelled Title
 jpg, png, docx or pdf files only
 File
 Upload File button
l) Certification of Sale
 jpg, png, docx or pdf files only
 File
 Upload File button
m) Affidavit of Consolidation of Ownership
 jpg, png, docx or pdf files only
 File
 Upload File button
Additional Information:
All fields are mandatory; submission will be blocked if any document is not uploaded or any radio button question is unanswered.
Valid file types for uploads: .jpg, .png, .docx, .pdf only.
Upload buttons allow users to browse and select files for each respective requirement.
Checkbox:
I agree to the Terms &amp; Conditions of the City of Sta Rosa
Form Action Buttons:
a) Save as Draft
b) Submit</t>
  </si>
  <si>
    <t>Verify that the form submission is blocked if the Copy of Subdivision Plan file is not uploaded.</t>
  </si>
  <si>
    <t>A clear validation message or notification is displayed near the upload field or as a general alert, stating:
1.) “The Copy of Subdivision Plan is required. Please upload jpg, png, docx or pdf files only.”
2.) The user remains on the same form page with all previously entered data preserved, except for the missing required file.
3.) The system blocks submission until a valid file in the accepted formats (.jpg, .png, .docx, .pdf) is uploaded for this required field.</t>
  </si>
  <si>
    <t>Verify that the user must select either Yes or No for Has the Title been cancelled? and the form submission is blocked if none is selected.</t>
  </si>
  <si>
    <t>Verify that when 'Yes' is selected for 'Has the Title been cancelled?', the 'Certified Cancelled Title' field is displayed.</t>
  </si>
  <si>
    <t>Verify that when "No" is selected for "Has the Title been cancelled?", the "Certified Cancelled Title" field is hidden.</t>
  </si>
  <si>
    <t>Verify that the user can upload a valid file (.jpg, .png, .docx, .pdf) for Certified Cancelled Title and the system accepts the file.</t>
  </si>
  <si>
    <t>Verify that the system rejects and displays an error when an invalid file type is uploaded for Certified Cancelled Title.</t>
  </si>
  <si>
    <t>Transfer of Tax Declaration Requirements
These are the required documents and inputs for the Transfer of Tax Declaration application. All fields are mandatory, and the system will not accept submission unless valid documents are uploaded or valid options selected. Valid file types include .jpg, .png, .docx, or .pdf.
a) Certified True Copy of Title
 jpg, png, docx or pdf files only
 File
 Upload File button
b) Xerox Copy of Deed of Sale / Donation / Extra Judicial Settlement
 jpg, png, docx or pdf files only
 File
 Upload File button
c) Receipt from RD for New Title
 jpg, png, docx or pdf files only
 File
 Upload File button
d) Is the lot subdivided?
 Yes or No (radio button)
e) Has the Title been cancelled?
 Yes or No (radio button)
f) Is the lot foreclosed?
 Yes or No (radio button)
g) Xerox Copy of C.A.R. (BIR)
 jpg, png, docx or pdf files only
 File
 Upload File button
h) Xerox Copy of Real Property Tax Receipt or Tax Clearance
 jpg, png, docx or pdf files only
 File
 Upload File button
i) Xerox of Transfer Tax Receipt or Certification of Transfer Tax
 jpg, png, docx or pdf files only
 File
 Upload File button
j) Copy of Subdivision Plan
 jpg, png, docx or pdf files only
 File
 Upload File button
k) Certified Cancelled Title
 jpg, png, docx or pdf files only
 File
 Upload File button
    • Attempt to upload an invalid file type (e.g., malicious.exe or archive.zip)
 • Expected Result:
  – The system displays a validation error message such as: “Invalid file type. Please upload a .jpg, .png, .docx, or .pdf file.”
  – The file is not uploaded.
  – The field remains empty or reverts to its default state.
  – No file name or preview appears.
  – Submit button remains disabled (or submission is blocked upon click).
  – If attempted to submit, a summary or inline error message highlights the Certified Cancelled Title field.
l) Certification of Sale
 jpg, png, docx or pdf files only
 File
 Upload File button
m) Affidavit of Consolidation of Ownership
 jpg, png, docx or pdf files only
 File
 Upload File button
Additional Information:
All fields are mandatory; submission will be blocked if any document is not uploaded or any radio button question is unanswered.
Valid file types for uploads: .jpg, .png, .docx, .pdf only.
Upload buttons allow users to browse and select files for each respective requirement.
Checkbox:
I agree to the Terms &amp; Conditions of the City of Sta Rosa
Form Action Buttons:
a) Save as Draft
b) Submit</t>
  </si>
  <si>
    <t>Verify that the form submission is blocked if the Certified Cancelled Title file is not uploaded.</t>
  </si>
  <si>
    <t>A clear validation message or notification is displayed near the upload field or as a general alert, stating:
1.) “The Certified Cancelled Title is required. Please upload jpg, png, docx or pdf files only.”
2.) The user remains on the same form page with all previously entered data preserved, except for the missing required file.
3.) The system blocks submission until a valid file in the accepted formats (.jpg, .png, .docx, .pdf) is uploaded for this required field.</t>
  </si>
  <si>
    <t>Verify that the user must select either Yes or No for Is the lot foreclosed? and the form submission is blocked if none is selected.</t>
  </si>
  <si>
    <t xml:space="preserve">Verify that selecting "Yes" for "Is the lot foreclosed?" displays the Certification of Sale and Affidavit of Consolidation of Ownership upload fields
</t>
  </si>
  <si>
    <t xml:space="preserve">Verify that selecting "No" for "Is the lot foreclosed?" hides the Certification of Sale and Affidavit of Consolidation of Ownership fields
</t>
  </si>
  <si>
    <t>Verify that the user can upload a valid file (.jpg, .png, .docx, .pdf) for Certification of Sale and the system accepts the file.</t>
  </si>
  <si>
    <t>Verify that the system rejects and displays an error when an invalid file type is uploaded for Certification of Sale.</t>
  </si>
  <si>
    <t>Transfer of Tax Declaration Requirements
These are the required documents and inputs for the Transfer of Tax Declaration application. All fields are mandatory, and the system will not accept submission unless valid documents are uploaded or valid options selected. Valid file types include .jpg, .png, .docx, or .pdf.
a) Certified True Copy of Title
 jpg, png, docx or pdf files only
 File
 Upload File button
b) Xerox Copy of Deed of Sale / Donation / Extra Judicial Settlement
 jpg, png, docx or pdf files only
 File
 Upload File button
c) Receipt from RD for New Title
 jpg, png, docx or pdf files only
 File
 Upload File button
d) Is the lot subdivided?
 Yes or No (radio button)
e) Has the Title been cancelled?
 Yes or No (radio button)
f) Is the lot foreclosed?
 Yes or No (radio button)
g) Xerox Copy of C.A.R. (BIR)
 jpg, png, docx or pdf files only
 File
 Upload File button
h) Xerox Copy of Real Property Tax Receipt or Tax Clearance
 jpg, png, docx or pdf files only
 File
 Upload File button
i) Xerox of Transfer Tax Receipt or Certification of Transfer Tax
 jpg, png, docx or pdf files only
 File
 Upload File button
j) Copy of Subdivision Plan
 jpg, png, docx or pdf files only
 File
 Upload File button
k) Certified Cancelled Title
 jpg, png, docx or pdf files only
 File
 Upload File button
l) Certification of Sale
 jpg, png, docx or pdf files only
 File
 Upload File button
    • Attempt to upload an invalid file type (e.g., malicious.exe or archive.zip)
 • Expected Result:
  – The system displays a validation error message such as: “Invalid file type. Please upload a .jpg, .png, .docx, or .pdf file.”
  – The file is not uploaded.
  – The field remains empty or reverts to its default state.
  – No file name or preview appears.
  – Submit button remains disabled (or submission is blocked upon click).
  – If attempted to submit, a summary or inline error message highlights the Certification of Sale field.
m) Affidavit of Consolidation of Ownership
 jpg, png, docx or pdf files only
 File
 Upload File button
Additional Information:
All fields are mandatory; submission will be blocked if any document is not uploaded or any radio button question is unanswered.
Valid file types for uploads: .jpg, .png, .docx, .pdf only.
Upload buttons allow users to browse and select files for each respective requirement.
Checkbox:
I agree to the Terms &amp; Conditions of the City of Sta Rosa
Form Action Buttons:
a) Save as Draft
b) Submit</t>
  </si>
  <si>
    <t>Verify that the form submission is blocked if the Certification of Sale file is not uploaded.</t>
  </si>
  <si>
    <t>A clear validation message or notification is displayed near the upload field or as a general alert, stating:
1.) “The Certification of Sale is required. Please upload jpg, png, docx or pdf files only.”
2.) The user remains on the same form page with all previously entered data preserved, except for the missing required file.
3.) The system blocks submission until a valid file in the accepted formats (.jpg, .png, .docx, .pdf) is uploaded for this required field.</t>
  </si>
  <si>
    <t>Verify that the user can upload a valid file (.jpg, .png, .docx, .pdf) for Affidavit of Consolidation of Ownership and the system accepts the file.</t>
  </si>
  <si>
    <t>Verify that the system rejects and displays an error when an invalid file type is uploaded for Affidavit of Consolidation of Ownership.</t>
  </si>
  <si>
    <t>Transfer of Tax Declaration Requirements
These are the required documents and inputs for the Transfer of Tax Declaration application. All fields are mandatory, and the system will not accept submission unless valid documents are uploaded or valid options selected. Valid file types include .jpg, .png, .docx, or .pdf.
a) Certified True Copy of Title
 jpg, png, docx or pdf files only
 File
 Upload File button
b) Xerox Copy of Deed of Sale / Donation / Extra Judicial Settlement
 jpg, png, docx or pdf files only
 File
 Upload File button
c) Receipt from RD for New Title
 jpg, png, docx or pdf files only
 File
 Upload File button
d) Is the lot subdivided?
 Yes or No (radio button)
e) Has the Title been cancelled?
 Yes or No (radio button)
f) Is the lot foreclosed?
 Yes or No (radio button)
g) Xerox Copy of C.A.R. (BIR)
 jpg, png, docx or pdf files only
 File
 Upload File button
h) Xerox Copy of Real Property Tax Receipt or Tax Clearance
 jpg, png, docx or pdf files only
 File
 Upload File button
i) Xerox of Transfer Tax Receipt or Certification of Transfer Tax
 jpg, png, docx or pdf files only
 File
 Upload File button
j) Copy of Subdivision Plan
 jpg, png, docx or pdf files only
 File
 Upload File button
k) Certified Cancelled Title
 jpg, png, docx or pdf files only
 File
 Upload File button
l) Certification of Sale
 jpg, png, docx or pdf files only
 File
 Upload File button
m) Affidavit of Consolidation of Ownership
 jpg, png, docx or pdf files only
 File
 Upload File button
    • Attempt to upload an invalid file type (e.g., malicious.exe or archive.zip)
 • Expected Result:
  – The system displays a validation error message such as: “Invalid file type. Please upload a .jpg, .png, .docx, or .pdf file.”
  – The file is not uploaded.
  – The field remains empty or reverts to its default state.
  – No file name or preview appears.
  – Submit button remains disabled (or submission is blocked upon click).
  – If attempted to submit, a summary or inline error message highlights the Affidavit of Consolidation of Ownership field.
Additional Information:
All fields are mandatory; submission will be blocked if any document is not uploaded or any radio button question is unanswered.
Valid file types for uploads: .jpg, .png, .docx, .pdf only.
Upload buttons allow users to browse and select files for each respective requirement.
Checkbox:
I agree to the Terms &amp; Conditions of the City of Sta Rosa
Form Action Buttons:
a) Save as Draft
b) Submit</t>
  </si>
  <si>
    <t>Verify that the form submission is blocked if the Affidavit of Consolidation of Ownership file is not uploaded.</t>
  </si>
  <si>
    <t>A clear validation message or notification is displayed near the upload field or as a general alert, stating:
1.) “The Affidavit of Consolidation of Ownership is required. Please upload jpg, png, docx or pdf files only.”
2.) The user remains on the same form page with all previously entered data preserved, except for the missing required file.
3.) The system blocks submission until a valid file in the accepted formats (.jpg, .png, .docx, .pdf) is uploaded for this required field.</t>
  </si>
  <si>
    <t>Verify that the user can upload a valid file (.jpg, .png, .docx, .pdf) for Xerox Copy of C.A.R. (BIR) and the system accepts the file.</t>
  </si>
  <si>
    <t>Verify that the system rejects and displays an error when an invalid file type is uploaded for Xerox Copy of C.A.R. (BIR).</t>
  </si>
  <si>
    <t>Transfer of Tax Declaration Requirements
These are the required documents and inputs for the Transfer of Tax Declaration application. All fields are mandatory, and the system will not accept submission unless valid documents are uploaded or valid options selected. Valid file types include .jpg, .png, .docx, or .pdf.
a) Certified True Copy of Title
 jpg, png, docx or pdf files only
 File
 Upload File button
b) Xerox Copy of Deed of Sale / Donation / Extra Judicial Settlement
 jpg, png, docx or pdf files only
 File
 Upload File button
c) Receipt from RD for New Title
 jpg, png, docx or pdf files only
 File
 Upload File button
d) Is the lot subdivided?
 Yes or No (radio button)
e) Has the Title been cancelled?
 Yes or No (radio button)
f) Is the lot foreclosed?
 Yes or No (radio button)
g) Xerox Copy of C.A.R. (BIR)
 jpg, png, docx or pdf files only
 File
 Upload File button
    • Attempt to upload an invalid file type (e.g., malicious.exe or archive.zip)
 • Expected Result:
  – The system displays a validation error message such as: “Invalid file type. Please upload a .jpg, .png, .docx, or .pdf file.”
  – The file is not uploaded.
  – The field remains empty or reverts to its default state.
  – No file name or preview appears.
  – Submit button remains disabled (or submission is blocked upon click).
  – If attempted to submit, a summary or inline error message highlights the Xerox Copy of C.A.R. (BIR) field.
h) Xerox Copy of Real Property Tax Receipt or Tax Clearance
 jpg, png, docx or pdf files only
 File
 Upload File button
i) Xerox of Transfer Tax Receipt or Certification of Transfer Tax
 jpg, png, docx or pdf files only
 File
 Upload File button
j) Copy of Subdivision Plan
 jpg, png, docx or pdf files only
 File
 Upload File button
k) Certified Cancelled Title
 jpg, png, docx or pdf files only
 File
 Upload File button
l) Certification of Sale
 jpg, png, docx or pdf files only
 File
 Upload File button
m) Affidavit of Consolidation of Ownership
 jpg, png, docx or pdf files only
 File
 Upload File button
Additional Information:
All fields are mandatory; submission will be blocked if any document is not uploaded or any radio button question is unanswered.
Valid file types for uploads: .jpg, .png, .docx, .pdf only.
Upload buttons allow users to browse and select files for each respective requirement.
Checkbox:
I agree to the Terms &amp; Conditions of the City of Sta Rosa
Form Action Buttons:
a) Save as Draft
b) Submit</t>
  </si>
  <si>
    <t>Verify that the form submission is blocked if the Xerox Copy of C.A.R. (BIR) file is not uploaded.</t>
  </si>
  <si>
    <t>A clear validation message or notification is displayed near the upload field or as a general alert, stating:
1.) “The Xerox Copy of C.A.R. (BIR) is required. Please upload jpg, png, docx or pdf files only.”
2.) The user remains on the same form page with all previously entered data preserved, except for the missing required file.
3.) The system blocks submission until a valid file in the accepted formats (.jpg, .png, .docx, .pdf) is uploaded for this required field.</t>
  </si>
  <si>
    <t>Verify that the user can upload a valid file (.jpg, .png, .docx, .pdf) for Xerox Copy of Real Property Tax Receipt or Tax Clearance and the system accepts the file.</t>
  </si>
  <si>
    <t>Verify that the system rejects and displays an error when an invalid file type is uploaded for Xerox Copy of Real Property Tax Receipt or Tax Clearance.</t>
  </si>
  <si>
    <t>Transfer of Tax Declaration Requirements
These are the required documents and inputs for the Transfer of Tax Declaration application. All fields are mandatory, and the system will not accept submission unless valid documents are uploaded or valid options selected. Valid file types include .jpg, .png, .docx, or .pdf.
a) Certified True Copy of Title
 jpg, png, docx or pdf files only
 File
 Upload File button
b) Xerox Copy of Deed of Sale / Donation / Extra Judicial Settlement
 jpg, png, docx or pdf files only
 File
 Upload File button
c) Receipt from RD for New Title
 jpg, png, docx or pdf files only
 File
 Upload File button
d) Is the lot subdivided?
 Yes or No (radio button)
e) Has the Title been cancelled?
 Yes or No (radio button)
f) Is the lot foreclosed?
 Yes or No (radio button)
g) Xerox Copy of C.A.R. (BIR)
 jpg, png, docx or pdf files only
 File
 Upload File button
h) Xerox Copy of Real Property Tax Receipt or Tax Clearance
 jpg, png, docx or pdf files only
 File
 Upload File button
    • Attempt to upload an invalid file type (e.g., malicious.exe or archive.zip)
 • Expected Result:
  – The system displays a validation error message such as: “Invalid file type. Please upload a .jpg, .png, .docx, or .pdf file.”
  – The file is not uploaded.
  – The field remains empty or reverts to its default state.
  – No file name or preview appears.
  – Submit button remains disabled (or submission is blocked upon click).
  – If attempted to submit, a summary or inline error message highlights the Xerox Copy of Real Property Tax Receipt or Tax Clearance field.
i) Xerox of Transfer Tax Receipt or Certification of Transfer Tax
 jpg, png, docx or pdf files only
 File
 Upload File button
j) Copy of Subdivision Plan
 jpg, png, docx or pdf files only
 File
 Upload File button
k) Certified Cancelled Title
 jpg, png, docx or pdf files only
 File
 Upload File button
l) Certification of Sale
 jpg, png, docx or pdf files only
 File
 Upload File button
m) Affidavit of Consolidation of Ownership
 jpg, png, docx or pdf files only
 File
 Upload File button
Additional Information:
All fields are mandatory; submission will be blocked if any document is not uploaded or any radio button question is unanswered.
Valid file types for uploads: .jpg, .png, .docx, .pdf only.
Upload buttons allow users to browse and select files for each respective requirement.
Checkbox:
I agree to the Terms &amp; Conditions of the City of Sta Rosa
Form Action Buttons:
a) Save as Draft
b) Submit</t>
  </si>
  <si>
    <t xml:space="preserve"> Verify that the form submission is blocked if the Xerox Copy of Real Property Tax Receipt or Tax Clearance file is not uploaded.</t>
  </si>
  <si>
    <t>A clear validation message or notification is displayed near the upload field or as a general alert, stating:
1.) “The Xerox Copy of Real Property Tax Receipt or Tax Clearance is required. Please upload jpg, png, docx or pdf files only.”
2.) The user remains on the same form page with all previously entered data preserved, except for the missing required file.
3.) The system blocks submission until a valid file in the accepted formats (.jpg, .png, .docx, .pdf) is uploaded for this required field.</t>
  </si>
  <si>
    <t>Verify that the user can upload a valid file (.jpg, .png, .docx, .pdf) for Xerox of Transfer Tax Receipt or Certification of Transfer Tax and the system accepts the file.</t>
  </si>
  <si>
    <t xml:space="preserve"> Verify that the system rejects and displays an error when an invalid file type is uploaded for Xerox of Transfer Tax Receipt or Certification of Transfer Tax.</t>
  </si>
  <si>
    <t>Transfer of Tax Declaration Requirements
These are the required documents and inputs for the Transfer of Tax Declaration application. All fields are mandatory, and the system will not accept submission unless valid documents are uploaded or valid options selected. Valid file types include .jpg, .png, .docx, or .pdf.
a) Certified True Copy of Title
 jpg, png, docx or pdf files only
 File
 Upload File button
b) Xerox Copy of Deed of Sale / Donation / Extra Judicial Settlement
 jpg, png, docx or pdf files only
 File
 Upload File button
c) Receipt from RD for New Title
 jpg, png, docx or pdf files only
 File
 Upload File button
d) Is the lot subdivided?
 Yes or No (radio button)
e) Has the Title been cancelled?
 Yes or No (radio button)
f) Is the lot foreclosed?
 Yes or No (radio button)
g) Xerox Copy of C.A.R. (BIR)
 jpg, png, docx or pdf files only
 File
 Upload File button
h) Xerox Copy of Real Property Tax Receipt or Tax Clearance
 jpg, png, docx or pdf files only
 File
 Upload File button
i) Xerox of Transfer Tax Receipt or Certification of Transfer Tax
 jpg, png, docx or pdf files only
 File
 Upload File button
    • Attempt to upload an invalid file type (e.g., malicious.exe or archive.zip)
 • Expected Result:
  – The system displays a validation error message such as: “Invalid file type. Please upload a .jpg, .png, .docx, or .pdf file.”
  – The file is not uploaded.
  – The field remains empty or reverts to its default state.
  – No file name or preview appears.
  – Submit button remains disabled (or submission is blocked upon click).
  – If attempted to submit, a summary or inline error message highlights the Xerox of Transfer Tax Receipt or Certification of Transfer Tax field.
j) Copy of Subdivision Plan
 jpg, png, docx or pdf files only
 File
 Upload File button
k) Certified Cancelled Title
 jpg, png, docx or pdf files only
 File
 Upload File button
l) Certification of Sale
 jpg, png, docx or pdf files only
 File
 Upload File button
m) Affidavit of Consolidation of Ownership
 jpg, png, docx or pdf files only
 File
 Upload File button
Additional Information:
All fields are mandatory; submission will be blocked if any document is not uploaded or any radio button question is unanswered.
Valid file types for uploads: .jpg, .png, .docx, .pdf only.
Upload buttons allow users to browse and select files for each respective requirement.
Checkbox:
I agree to the Terms &amp; Conditions of the City of Sta Rosa
Form Action Buttons:
a) Save as Draft
b) Submit</t>
  </si>
  <si>
    <t>Verify that the form submission is blocked if the Xerox of Transfer Tax Receipt or Certification of Transfer Tax file is not uploaded.</t>
  </si>
  <si>
    <t>A clear validation message or notification is displayed near the upload field or as a general alert, stating:
1.) “The Xerox of Transfer Tax Receipt or Certification of Transfer Tax is required. Please upload jpg, png, docx or pdf files only.”
2.) The user remains on the same form page with all previously entered data preserved, except for the missing required file.
3.) The system blocks submission until a valid file in the accepted formats (.jpg, .png, .docx, .pdf) is uploaded for this required field.</t>
  </si>
  <si>
    <t>The system validates all inputs and uploads.
The form is successfully submitted without errors.
The user is redirected or given the option to view the submitted application status.</t>
  </si>
  <si>
    <t>Verify that the user receives an SMS when status is changed to Pending Review for the  Transfer of Tax Declaration in Personal claim</t>
  </si>
  <si>
    <t>Verify that the user receives an Email when status is changed to Pending Review for the  Transfer of Tax Declaration in Personal claim</t>
  </si>
  <si>
    <t>Verify SMS is sent when status is changed to Under Review for the Transfer of Tax Declaration in Personal claim</t>
  </si>
  <si>
    <t>Verify Email is sent when status is changed to Under Review for the Transfer of Tax Declaration in Personal claim</t>
  </si>
  <si>
    <t>Verify SMS is sent when status is Requires Changes for the  Transfer of Tax Declaration in Personal claim</t>
  </si>
  <si>
    <t>Verify Email is sent when status is Requires Changes for the  Transfer of Tax Declaration in Personal claim</t>
  </si>
  <si>
    <t>Verify SMS is sent when status is Awaiting Payment for the Transfer of Tax Declaration in Personal claim</t>
  </si>
  <si>
    <t>Verify Email is sent when status is Awaiting Payment for the Transfer of Tax Declaration in Personal claim</t>
  </si>
  <si>
    <t>Verify SMS is sent when status is Payment Verification for the Transfer of Tax Declaration in Personal claim</t>
  </si>
  <si>
    <t>Verify Email is sent when status is Payment Verification for the  Transfer of Tax Declaration in Personal claim</t>
  </si>
  <si>
    <t>Verify SMS is sent when status is Payment Verified for the Transfer of Tax Declaration in Personal claim</t>
  </si>
  <si>
    <t>Verify Email is sent when status is Payment Verified for the  Transfer of Tax Declaration in Personal claim</t>
  </si>
  <si>
    <t>Verify SMS is sent when status is Certificate for Claiming for the  Transfer of Tax Declaration in Personal claim</t>
  </si>
  <si>
    <t>Verify Email is sent when status is Certificate for Claiming for the Transfer of Tax Declaration in Personal claim</t>
  </si>
  <si>
    <t>Verify SMS is sent when status is Certificate Claimed for the Transfer of Tax Declaration in Personal claim</t>
  </si>
  <si>
    <t>Verify Email is sent when status is Certificate Claimed for the Transfer of Tax Declaration in Personal claim</t>
  </si>
  <si>
    <r>
      <rPr>
        <rFont val="Inter"/>
        <b/>
        <color theme="1"/>
        <sz val="12.0"/>
      </rPr>
      <t xml:space="preserve">USER STORY: 
</t>
    </r>
    <r>
      <rPr>
        <rFont val="Inter"/>
        <color theme="1"/>
        <sz val="12.0"/>
      </rPr>
      <t xml:space="preserve">As a property owner,
I want to apply for a </t>
    </r>
    <r>
      <rPr>
        <rFont val="Inter"/>
        <b/>
        <color theme="1"/>
        <sz val="12.0"/>
      </rPr>
      <t>Transfer of Tax</t>
    </r>
    <r>
      <rPr>
        <rFont val="Inter"/>
        <color theme="1"/>
        <sz val="12.0"/>
      </rPr>
      <t xml:space="preserve">
So that I can process my property documentation
And claim the certificate by an</t>
    </r>
    <r>
      <rPr>
        <rFont val="Inter"/>
        <b/>
        <color theme="1"/>
        <sz val="12.0"/>
      </rPr>
      <t xml:space="preserve"> Authorized Representative.</t>
    </r>
  </si>
  <si>
    <t xml:space="preserve">Verify that the user is able to select the "Authorize Representative” radio button under the Claiming section.
</t>
  </si>
  <si>
    <t>Verify that when the user clicks the information icon beside 'ID of Representative with 3 Signatures', the system displays the Certificate Requirements.</t>
  </si>
  <si>
    <t xml:space="preserve">Verify that the system accepts and successfully uploads a valid file (.jpg, .png, .docx, or .pdf) for the ID of Representative with 3 Signatures field on the Authorized Representative Requirements.
</t>
  </si>
  <si>
    <t>Verify that the system prevents form submission and displays a validation error when the ID of Representative with 3 Signatures upload field is left blank on the Authorized Representative Requirements.</t>
  </si>
  <si>
    <t xml:space="preserve">Verify that the system rejects and displays an error message when an unsupported file type (e.g., .exe, .zip) is uploaded to the ID of Representative with 3 Signatures field on the Authorized Representative Requirements. </t>
  </si>
  <si>
    <t>Verify that the system accepts and successfully uploads a valid file (.jpg, .png, .docx, or .pdf) for the Special Power of Attorney (SPA) field on the Authorized Representative Requirements.</t>
  </si>
  <si>
    <t>Verify that the system prevents form submission and displays a validation error when the Special Power of Attorney (SPA) upload field is left blank on the Authorized Representative Requirements.</t>
  </si>
  <si>
    <t>Verify that the system rejects and displays an error message when an unsupported file type (e.g., .exe, .zip) is uploaded to the Special Power of Attorney (SPA) field on the Authorized Representative Requirements.</t>
  </si>
  <si>
    <t>Verify that the system accepts and successfully uploads a valid file (.jpg, .png, .docx, or .pdf) for the Authorization Letter field on the Authorized Representative Requirements.</t>
  </si>
  <si>
    <t>Verify that the system prevents form submission and displays a validation error when the Authorization Letter upload field is left blank on the Authorized Representative Requirements.</t>
  </si>
  <si>
    <t>Verify that the user receives an SMS when status is changed to Pending Review for the  Transfer of Tax Declaration in Authorize Representative claim</t>
  </si>
  <si>
    <t>Verify that the user receives an Email when status is changed to Pending Review for the  Transfer of Tax Declaration in Authorize Representative claim</t>
  </si>
  <si>
    <t>Verify SMS is sent when status is changed to Under Review for the Transfer of Tax Declaration in Authorize Representative claim</t>
  </si>
  <si>
    <t>Verify Email is sent when status is changed to Under Review for the Transfer of Tax Declaration in Authorize Representative claim</t>
  </si>
  <si>
    <t>Verify SMS is sent when status is Requires Changes for the  Transfer of Tax Declaration in Authorize Representative claim</t>
  </si>
  <si>
    <t>Verify Email is sent when status is Requires Changes for the  Transfer of Tax Declaration in Authorize Representative claim</t>
  </si>
  <si>
    <t>Verify SMS is sent when status is Awaiting Payment for the Transfer of Tax Declaration in Authorize Representative claim</t>
  </si>
  <si>
    <t>Verify Email is sent when status is Awaiting Payment for the Transfer of Tax Declaration in Authorize Representative claim</t>
  </si>
  <si>
    <t>Verify SMS is sent when status is Payment Verification for the Transfer of Tax Declaration in Authorize Representative claim</t>
  </si>
  <si>
    <t>Verify Email is sent when status is Payment Verification for the  Transfer of Tax Declaration in Authorize Representativeclaim</t>
  </si>
  <si>
    <t>Verify SMS is sent when status is Payment Verified for the Transfer of Tax Declaration in Authorize Representativeclaim</t>
  </si>
  <si>
    <t>Verify Email is sent when status is Payment Verified for the  Transfer of Tax Declaration in Authorize Representative claim</t>
  </si>
  <si>
    <t>Verify SMS is sent when status is Certificate for Claiming for the  Transfer of Tax Declaration in Authorize Representative claim</t>
  </si>
  <si>
    <t>Verify Email is sent when status is Certificate for Claiming for the Transfer of Tax Declaration in Authorize Representative claim</t>
  </si>
  <si>
    <t>Verify SMS is sent when status is Certificate Claimed for the Transfer of Tax Declaration in Authorize Representative claim</t>
  </si>
  <si>
    <t>Verify Email is sent when status is Certificate Claimed for the Transfer of Tax Declaration in Authorize Representative claim</t>
  </si>
  <si>
    <r>
      <rPr>
        <rFont val="Inter"/>
        <b/>
        <color theme="1"/>
        <sz val="12.0"/>
      </rPr>
      <t xml:space="preserve">USER STORY: 
</t>
    </r>
    <r>
      <rPr>
        <rFont val="Inter"/>
        <color theme="1"/>
        <sz val="12.0"/>
      </rPr>
      <t xml:space="preserve">As a property owner,
I want to apply for a </t>
    </r>
    <r>
      <rPr>
        <rFont val="Inter"/>
        <b/>
        <color theme="1"/>
        <sz val="12.0"/>
      </rPr>
      <t>Certificate of No-Property</t>
    </r>
    <r>
      <rPr>
        <rFont val="Inter"/>
        <color theme="1"/>
        <sz val="12.0"/>
      </rPr>
      <t xml:space="preserve">
So that I can process my property documentation
And claim the certificate in </t>
    </r>
    <r>
      <rPr>
        <rFont val="Inter"/>
        <b/>
        <color theme="1"/>
        <sz val="12.0"/>
      </rPr>
      <t>Personal.</t>
    </r>
  </si>
  <si>
    <t>Verify that the system rejects unsupported file types for “Are you a Company/Bank Developer?” under "Secretary’s Certificate and one (1)
employee ID"  uploads.</t>
  </si>
  <si>
    <t xml:space="preserve">Verify that selecting “Yes” for “Is this a Loan Mortgage?” displays the "Photocopy of Loan Agreement"  and upload (e.g., jpg, png, docx or pdf) files. </t>
  </si>
  <si>
    <t>Verify that the user receives an SMS when status is changed to Pending Review for the Certificate of No-Property in Personal claim</t>
  </si>
  <si>
    <t>Verify that the user receives an Email when status is changed to Pending Review for the   Certificate of No-Property in Personal claim</t>
  </si>
  <si>
    <t>Verify SMS is sent when status is changed to Under Review for the Certificate of No-Property in Personal claim</t>
  </si>
  <si>
    <t>Verify Email is sent when status is changed to Under Review for the Certificate of No-Property in Personal claim</t>
  </si>
  <si>
    <t>Verify SMS is sent when status is Requires Changes for the  Certificate of No-Property in Personal claim</t>
  </si>
  <si>
    <t>Verify Email is sent when status is Requires Changes for the  Certificate of No-Property in Personal claim</t>
  </si>
  <si>
    <t>Verify SMS is sent when status is Awaiting Payment for the  Certificate of No-Property in Personal claim</t>
  </si>
  <si>
    <t>Verify Email is sent when status is Awaiting Payment for the Certificate of No-Property in Personal claim</t>
  </si>
  <si>
    <t>Verify SMS is sent when status is Payment Verification for the Certificate of No-Property in Personal claim</t>
  </si>
  <si>
    <t>Verify Email is sent when status is Payment Verification for the Certificate of No-Property in Personal claim</t>
  </si>
  <si>
    <t>Verify SMS is sent when status is Payment Verified for the  Certificate of No-Property in Personal claim</t>
  </si>
  <si>
    <t>Verify Email is sent when status is Payment Verified for the   Certificate of No-Property in Personal claim</t>
  </si>
  <si>
    <t>Verify SMS is sent when status is Certificate Claimed for the Certificate of No-Property in Personal claim</t>
  </si>
  <si>
    <t>Verify Email is sent when status is Certificate Claimed for the Certificate of No-Property in Personal claim</t>
  </si>
  <si>
    <r>
      <rPr>
        <rFont val="Inter"/>
        <b/>
        <color theme="1"/>
        <sz val="12.0"/>
      </rPr>
      <t xml:space="preserve">USER STORY: 
</t>
    </r>
    <r>
      <rPr>
        <rFont val="Inter"/>
        <color theme="1"/>
        <sz val="12.0"/>
      </rPr>
      <t xml:space="preserve">As a property owner,
I want to apply for a </t>
    </r>
    <r>
      <rPr>
        <rFont val="Inter"/>
        <b/>
        <color theme="1"/>
        <sz val="12.0"/>
      </rPr>
      <t>Certificate of No-Property</t>
    </r>
    <r>
      <rPr>
        <rFont val="Inter"/>
        <color theme="1"/>
        <sz val="12.0"/>
      </rPr>
      <t xml:space="preserve">
So that I can process my property documentation
And have it claimed by an A</t>
    </r>
    <r>
      <rPr>
        <rFont val="Inter"/>
        <b/>
        <color theme="1"/>
        <sz val="12.0"/>
      </rPr>
      <t>uthorized Representative</t>
    </r>
    <r>
      <rPr>
        <rFont val="Inter"/>
        <color theme="1"/>
        <sz val="12.0"/>
      </rPr>
      <t xml:space="preserve"> on my behalf.</t>
    </r>
  </si>
  <si>
    <t>Verify that the user is able to select both the " Certificate of No-Property" checkbox under the Type of Certificate section.</t>
  </si>
  <si>
    <t xml:space="preserve">Verify that the ID of Property Owner with three (3) Signatures can be successfully uploaded in valid formats (e.g. jpg, png, docx, pdf) </t>
  </si>
  <si>
    <t>Verify that the system rejects unsupported file types for “Are you a Company/Bank Developer?” under "Secretary’s Certificate and one (1)
employee ID"  uploads.</t>
  </si>
  <si>
    <t>Verify that the user receives an SMS when status is changed to Pending Review for the Certificate of No-Property in Authorize Representative claim</t>
  </si>
  <si>
    <t>Verify that the user receives an Email when status is changed to Pending Review for the Certificate of No-Property in Authorize Representative claim</t>
  </si>
  <si>
    <t>Verify SMS is sent when status is changed to Under Review for the Certificate of No-Property in Authorize Representative claim</t>
  </si>
  <si>
    <t>Verify Email is sent when status is changed to Under Review for the Certificate of No-Property in Authorize Representative claim</t>
  </si>
  <si>
    <t>Verify SMS is sent when status is Requires Changes for the Certificate of No-Property in Authorize Representative claim</t>
  </si>
  <si>
    <t>Verify Email is sent when status is Requires Changes for the  Certificate of No-Property in Authorize Representative claim</t>
  </si>
  <si>
    <t>Verify SMS is sent when status is Awaiting Payment for the Certificate of No-Property in Authorize Representative claim</t>
  </si>
  <si>
    <t>Verify Email is sent when status is Awaiting Payment for the Certificate of No-Property in Authorize Representative claim</t>
  </si>
  <si>
    <t>Verify SMS is sent when status is Payment Verification for the Certificate of No-Property in Authorize Representative claim</t>
  </si>
  <si>
    <t>Verify Email is sent when status is Payment Verification for the  Certificate of No-Property in Authorize Representative claim</t>
  </si>
  <si>
    <t>Verify SMS is sent when status is Payment Verified for the Certificate of No-Property in Authorize Representative claim</t>
  </si>
  <si>
    <t>Verify Email is sent when status is Payment Verified for the Certificate of No-Property in Authorize Representative claim</t>
  </si>
  <si>
    <t>Verify SMS is sent when status is Certificate for Claiming for the Certificate of No-Property in Authorize Representative claim</t>
  </si>
  <si>
    <t>Verify Email is sent when status is Certificate for Claiming for the Certificate of No-Property in Authorize Representative claim</t>
  </si>
  <si>
    <t>Verify SMS is sent when status is Certificate Claimed for the Certificate of No-Property in Authorize Representative claim</t>
  </si>
  <si>
    <t>Verify Email is sent when status is Certificate Claimed for the Certificate of No-Property in Authorize Representative claim</t>
  </si>
  <si>
    <r>
      <rPr>
        <rFont val="Inter"/>
        <b/>
        <color theme="1"/>
        <sz val="12.0"/>
      </rPr>
      <t xml:space="preserve">USER STORY: 
</t>
    </r>
    <r>
      <rPr>
        <rFont val="Inter"/>
        <color theme="1"/>
        <sz val="12.0"/>
      </rPr>
      <t xml:space="preserve">As a property owner,
I want to apply for a </t>
    </r>
    <r>
      <rPr>
        <rFont val="Inter"/>
        <b/>
        <color theme="1"/>
        <sz val="12.0"/>
      </rPr>
      <t>Certificate of Aggregate Landholdings</t>
    </r>
    <r>
      <rPr>
        <rFont val="Inter"/>
        <color theme="1"/>
        <sz val="12.0"/>
      </rPr>
      <t xml:space="preserve">
So that I can process my property documentation
And claim the certificate in </t>
    </r>
    <r>
      <rPr>
        <rFont val="Inter"/>
        <b/>
        <color theme="1"/>
        <sz val="12.0"/>
      </rPr>
      <t>Personal.</t>
    </r>
  </si>
  <si>
    <t>Verify that the user is able to select both the "Certificate of Aggregate Landholdings" checkbox under the Type of Certificate section.</t>
  </si>
  <si>
    <t xml:space="preserve">Verify that the user receives an SMS when the request for Certificate of Aggregate Landholdings in Personal claim is saved as Draft        
</t>
  </si>
  <si>
    <t>Verify that the user receives an Email when the request for  Certificate of Aggregate Landholdings in Personal claim saved as Draft</t>
  </si>
  <si>
    <t>Verify that the user receives an SMS when status is changed to Pending Review for the Certificate of Aggregate Landholdings in Personal claim</t>
  </si>
  <si>
    <t>Verify that the user receives an Email when status is changed to Pending Review for the Certificate of Aggregate Landholdings in Personal claim</t>
  </si>
  <si>
    <t>Verify SMS is sent when status is changed to Under Review for the Certificate of Aggregate Landholdings in Personal claim</t>
  </si>
  <si>
    <t>Verify Email is sent when status is changed to Under Review for the Certificate of Aggregate Landholdings in Personal claim</t>
  </si>
  <si>
    <t>Verify SMS is sent when status is Requires Changes for the Certificate of Aggregate Landholdings in Personal claim</t>
  </si>
  <si>
    <t>Verify Email is sent when status is Requires Changes for the Certificate of Aggregate Landholdings in Personal claim</t>
  </si>
  <si>
    <t>Verify SMS is sent when status is Awaiting Payment for the Certificate of Aggregate Landholdings in Personal claim</t>
  </si>
  <si>
    <t>Verify Email is sent when status is Awaiting Payment for the Certificate of Aggregate Landholdings in Personal claim</t>
  </si>
  <si>
    <t>Verify SMS is sent when status is Payment Verification for the Certificate of Aggregate Landholdings in Personal claim</t>
  </si>
  <si>
    <t>Verify Email is sent when status is Payment Verification for the Certificate of Aggregate Landholdings in Personal claim</t>
  </si>
  <si>
    <t>Verify SMS is sent when status is Payment Verified for the Certificate of Aggregate Landholdings in Personal claim</t>
  </si>
  <si>
    <t>Verify Email is sent when status is Payment Verified for the Certificate of Aggregate Landholdings in Personal claim</t>
  </si>
  <si>
    <t>Verify SMS is sent when status is Certificate for Claiming for the Certificate of Aggregate Landholdings in Personal claim</t>
  </si>
  <si>
    <t>Verify Email is sent when status is Certificate for Claiming for the Certificate of Aggregate Landholdings in Personal claim</t>
  </si>
  <si>
    <t>Verify SMS is sent when status is Certificate Claimed for the Certificate of Aggregate Landholdings in Personal claim</t>
  </si>
  <si>
    <t>Verify Email is sent when status is Certificate Claimed for the Certificate of Aggregate Landholdings in Personal claim</t>
  </si>
  <si>
    <r>
      <rPr>
        <rFont val="Inter"/>
        <b/>
        <color theme="1"/>
        <sz val="12.0"/>
      </rPr>
      <t xml:space="preserve">USER STORY: 
</t>
    </r>
    <r>
      <rPr>
        <rFont val="Inter"/>
        <color theme="1"/>
        <sz val="12.0"/>
      </rPr>
      <t xml:space="preserve">As a property owner,
I want to apply for a </t>
    </r>
    <r>
      <rPr>
        <rFont val="Inter"/>
        <b/>
        <color theme="1"/>
        <sz val="12.0"/>
      </rPr>
      <t xml:space="preserve"> Certificate of Aggregate Landholdings</t>
    </r>
    <r>
      <rPr>
        <rFont val="Inter"/>
        <color theme="1"/>
        <sz val="12.0"/>
      </rPr>
      <t xml:space="preserve">
So that I can process my property documentation
And have it claimed by an A</t>
    </r>
    <r>
      <rPr>
        <rFont val="Inter"/>
        <b/>
        <color theme="1"/>
        <sz val="12.0"/>
      </rPr>
      <t>uthorized Representative</t>
    </r>
    <r>
      <rPr>
        <rFont val="Inter"/>
        <color theme="1"/>
        <sz val="12.0"/>
      </rPr>
      <t xml:space="preserve"> on my behalf.</t>
    </r>
  </si>
  <si>
    <t>Verify that the user receives an SMS when status is changed to Pending Review for the Certificate of Aggregate Landholdings in Pesonal claim</t>
  </si>
  <si>
    <t>Verify that the user receives an Email when status is changed to Pending Review for the Certificate of Aggregate Landholdings in Authorize Represntative claim</t>
  </si>
  <si>
    <t>Verify SMS is sent when status is changed to Under Review for the Certificate of Aggregate Landholdings in Pesonal claim</t>
  </si>
  <si>
    <t>Verify Email is sent when status is changed to Under Review for the Certificate of Aggregate Landholdings in Pesonal claim</t>
  </si>
  <si>
    <t>Verify SMS is sent when status is Requires Changes for the Certificate of Aggregate Landholdings in Pesonal claim</t>
  </si>
  <si>
    <t>Verify Email is sent when status is Requires Changes for the Certificate of Aggregate Landholdings in Pesonal claim</t>
  </si>
  <si>
    <t>Verify SMS is sent when status is Awaiting Payment for the Certificate of Aggregate Landholdings in Pesonal claim</t>
  </si>
  <si>
    <t>Verify Email is sent when status is Awaiting Payment for the Certificate of Aggregate Landholdings in Pesonal claim</t>
  </si>
  <si>
    <t>Verify SMS is sent when status is Payment Verification for the Certificate of Aggregate Landholdings in Pesonal claim</t>
  </si>
  <si>
    <t>Verify Email is sent when status is Payment Verification for the  Certificate of Aggregate Landholdings in Pesonal claim</t>
  </si>
  <si>
    <t>Verify SMS is sent when status is Payment Verified for the Certificate of Aggregate Landholdings in Pesonal claim</t>
  </si>
  <si>
    <t>Verify Email is sent when status is Payment Verified for the Certificate of Aggregate Landholdings in Pesonal claim</t>
  </si>
  <si>
    <t>Verify SMS is sent when status is Certificate for Claiming for the Certificate of Aggregate Landholdings in Pesonal claim</t>
  </si>
  <si>
    <t>Verify Email is sent when status is Certificate for Claiming for the Certificate of Aggregate Landholdings in Pesonal claim</t>
  </si>
  <si>
    <t>Verify SMS is sent when status is Certificate Claimed for the Certificate of Aggregate Landholdings in Pesonal claim</t>
  </si>
  <si>
    <t>Verify Email is sent when status is Certificate Claimed for the Certificate of Aggregate Landholdings in Pesonal claim</t>
  </si>
  <si>
    <r>
      <rPr>
        <rFont val="Inter"/>
        <b/>
        <color theme="1"/>
        <sz val="12.0"/>
      </rPr>
      <t xml:space="preserve">USER STORY: 
</t>
    </r>
    <r>
      <rPr>
        <rFont val="Inter"/>
        <color theme="1"/>
        <sz val="12.0"/>
      </rPr>
      <t xml:space="preserve">As a property owner,
I want to apply for a </t>
    </r>
    <r>
      <rPr>
        <rFont val="Inter"/>
        <b/>
        <color theme="1"/>
        <sz val="12.0"/>
      </rPr>
      <t>Others Documents</t>
    </r>
    <r>
      <rPr>
        <rFont val="Inter"/>
        <color theme="1"/>
        <sz val="12.0"/>
      </rPr>
      <t xml:space="preserve">
So that I can process my property documentation
And claim the certificate in </t>
    </r>
    <r>
      <rPr>
        <rFont val="Inter"/>
        <b/>
        <color theme="1"/>
        <sz val="12.0"/>
      </rPr>
      <t xml:space="preserve">Personal.
</t>
    </r>
  </si>
  <si>
    <t>Verify that the user is able to select both the "Other Documents" checkbox under the Type of Certificate section.</t>
  </si>
  <si>
    <t>1. Search Assessor office login
2. Login with registered email and password and checkbox of T&amp;C. 
3. Click Submit button
4. Check OTP Verification sent on email. 
5. Put the OTP on the Verification 
6. Click the "New Request" button
7. Click the Click the Other Documents Type of Certificate
8. Chose the Personal option under Claiming</t>
  </si>
  <si>
    <t xml:space="preserve">Type of Certificate:
The user successfully selects both of the following checkboxes:
a) Other Documents
Claiming Method:
-- The user selects the Personal radio button.
ID of Property Owner with 3 Signatures:
- The required document is successfully uploaded via the drag-and-drop or upload file field.
</t>
  </si>
  <si>
    <t xml:space="preserve">Verify that user can able to select Certificate of No Improvement from the drop down box from the Other Certificate </t>
  </si>
  <si>
    <t>Verify that the user can select "Certificate of No Improvement" from the Other Certificate dropdown.</t>
  </si>
  <si>
    <t>Verify that the user can select "Certificate of No Property" from the Other Certificate dropdown.</t>
  </si>
  <si>
    <t>Verify that the user can select "Certificate of Zero Assessed Value" from the Other Certificate dropdown.</t>
  </si>
  <si>
    <t>Verify that the user can select "Certificate as per Tax Mapping" from the Other Certificate dropdown.</t>
  </si>
  <si>
    <t>Verify that the user can select "Certificate of Adjoining Lots" from the Other Certificate dropdown.</t>
  </si>
  <si>
    <t>Verify that the user can select "Certificate of Existing Improvement" from the Other Certificate dropdown.</t>
  </si>
  <si>
    <t>Verify that the user can select "Certificate of Existing Improvement under different name" from the Other Certificate dropdown.</t>
  </si>
  <si>
    <r>
      <rPr>
        <rFont val="Inter"/>
        <b/>
        <color theme="1"/>
        <sz val="12.0"/>
      </rPr>
      <t xml:space="preserve">USER STORY: 
</t>
    </r>
    <r>
      <rPr>
        <rFont val="Inter"/>
        <color theme="1"/>
        <sz val="12.0"/>
      </rPr>
      <t xml:space="preserve">As a property owner,
I want to apply for a </t>
    </r>
    <r>
      <rPr>
        <rFont val="Inter"/>
        <b/>
        <color theme="1"/>
        <sz val="12.0"/>
      </rPr>
      <t xml:space="preserve"> Other Documents </t>
    </r>
    <r>
      <rPr>
        <rFont val="Inter"/>
        <color theme="1"/>
        <sz val="12.0"/>
      </rPr>
      <t xml:space="preserve">
So that I can process my property documentation
And have it claimed by an </t>
    </r>
    <r>
      <rPr>
        <rFont val="Inter"/>
        <b/>
        <color theme="1"/>
        <sz val="12.0"/>
      </rPr>
      <t>Authorized Representative</t>
    </r>
    <r>
      <rPr>
        <rFont val="Inter"/>
        <color theme="1"/>
        <sz val="12.0"/>
      </rPr>
      <t xml:space="preserve"> on my behalf.</t>
    </r>
  </si>
  <si>
    <t>Verify that the user is able to select both the "Other Certificate" checkbox under the Type of Certificate section.</t>
  </si>
  <si>
    <t>1. Search Assessor office login
2. Login with registered email and password and checkbox of T&amp;C. 
3. Click Submit button
4. Check OTP Verification sent on email. 
5. Put the OTP on the Verification 
6. Click the "New Request" button
7. Click the Other Documents under Type of Certificate
8. Click the Other Documents 
9. Chose the Authorized Representative option under Claiming</t>
  </si>
  <si>
    <t>Verify that the user can select "Certificate of Breakdown of Areas of the Building" from the Other Certificate dropdown.</t>
  </si>
  <si>
    <t>Verify that the user can select "Certificate as per Data Privacy Act" from the Other Certificate dropdown.</t>
  </si>
  <si>
    <r>
      <rPr>
        <rFont val="Inter"/>
        <b/>
        <color theme="1"/>
        <sz val="12.0"/>
      </rPr>
      <t xml:space="preserve">USER STORY: 
DASHBOARD
</t>
    </r>
    <r>
      <rPr>
        <rFont val="Inter"/>
        <color theme="1"/>
        <sz val="12.0"/>
      </rPr>
      <t xml:space="preserve">
As a registered user,
I want to view the list of my ongoing certificate applications with details like Ticket ID, status, amount, date, and upload/payment options,
so that I can monitor the progress, fulfill missing requirements, make payments if applicable, and ensure my applications are processed smoothly.
</t>
    </r>
  </si>
  <si>
    <t>Verify that the Profile link navigates to the user’s profile page.</t>
  </si>
  <si>
    <t xml:space="preserve">1. User must be on the Sta. Rosa Payroll Portal.
2. User must be on the Login page.
3. User must be logged in the Assessor's Office portal
4. User must be done submitting the Certificate of Application
5. User must be on the Dashboard on the Ongoing Ticket ID. </t>
  </si>
  <si>
    <t>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Click the Profile link</t>
  </si>
  <si>
    <t xml:space="preserve">After the user is redirected to the Profile page, the screen should display the following layout and elements:
Header:
Assessor's Office
Section: Profile
a) First Name* — a text field is displayed below the label
b) Middle Name — a text field is displayed below the label
c) Last Name* — a text field is displayed below the label
d) Date of Birth* — a text field is displayed below the label
e) Contact Number* — a text field is displayed below the label
f) E-mail Address — a text field is displayed below the label
Line Separator
Section: Password Update
a) New Password* — a hashed password field is displayed below the label
b) Confirm Password* — a hashed password field is displayed below the label
Buttons (located below password fields):
a) Save Changes — submits the form and saves the updated profile information
b) Cancel — discards any changes and returns the user to the previous screen or dashboard
</t>
  </si>
  <si>
    <t>Verify that clicking the Logout link logs the user out and redirects to the login</t>
  </si>
  <si>
    <t>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Click the Logout link</t>
  </si>
  <si>
    <t>Verify that clicking the “+ New Request” button redirects to the certificate application form.</t>
  </si>
  <si>
    <t>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Click the "+ New Request"</t>
  </si>
  <si>
    <t>Verify that the View Requirements button opens the list of certificate requirements.</t>
  </si>
  <si>
    <t>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Click the View Requirements</t>
  </si>
  <si>
    <t xml:space="preserve">Certificate Requirements
Certificate of True Copy of Tax Declaration / Certificate of Aggregate Landholdings/ Certification of No-Property / Other Certifications
• ID of Property Owner with three (3) Signatures
• Original Copy of Contract of Lease
• Original Copy of Deed of Absolute Sale (DOAS)
• Original Copy of Contract to Sell
• Proof of Ownership
• If Company / Bank Developer: Secretary’s Certificate and one (1) employee ID
• If Loan Mortgage: Photocopy of Loan Agreement
Transfer of Tax Declaration
• ID of Property Owner with three (3) Signatures
• Certified True Copy of Title
• Xerox Copy of Deed of Sale / Donation / Extra Judicial Settlement
• Xerox Copy of Real Property Tax Receipt or Tax Clearance
• Xerox of Transfer Tax Receipt or Certification of Transfer Tax
• Xerox Copy of C.A.R (B.I.R)
• Receipt from RD for New Title
• For subdivided lots: Copy of Subdivision Plan
• For Canceled Titles: Certified Canceled Title
• For foreclosed Lots: Certification of Sale and Affidavit of Consolidation of Ownership
Additional Documents for Authorized Representative
• ID of Authorized Representative with three (3) Signatures
• Original Copy of Authorization Letter
• Original Copy of Special Power of Attorney (SPA)
Close button
</t>
  </si>
  <si>
    <t>Verify that the Search bar under Ongoing allows filtering by Ticket ID.</t>
  </si>
  <si>
    <t xml:space="preserve">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Click the Search bar and type the Ticket ID
</t>
  </si>
  <si>
    <t>Assessor's Office Header
a) Profile link – Opens the user’s profile page.
b) Logout link – Logs the user out of the system.
+ New Request button – Opens the form to create a new certificate request.
View Requirements button – Shows the list of required documents for application.
Search bar  –  Lets the user search their ongoing requests.
Ongoing
• Ticket ID – Shows the ID of the request.
• Status – Shows one of the following:
• Missing requirements detected. Kindly see email and re-upload.
• Certificate/s ready for claiming. Please bring a hard copy of all necessary requirements to be presented at the office.
• Amount – Shows the amount to be paid for the certificate (only if no missing requirements).
• Date – Shows when the certificate can be claimed.
• Make Payment button – Only clickable if the certificate is approved.
• Actions (upload button) – Lets the user upload payment proof (deposit slip or receipt).
Pagination – Lets the user go to the next or previous pages of Ongoing requests.
History
a) Year filter – Lets the user filter past records by year.
b) Search bar – Lets the user search past claimed certificates.
• Ticket ID– Shows the ID of the completed request.
•  Date – Shows when the certificate was claimed.
•  Certificate/s (View List) – Lets the user view what certificates were claimed.
•  Status – Always shows Certificate/s claimed at the office.
Pagination  – Lets the user go to the next or previous pages of past requests.</t>
  </si>
  <si>
    <t xml:space="preserve">Verify that Ticket ID displays correctly for each ongoing application.
</t>
  </si>
  <si>
    <t>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t>
  </si>
  <si>
    <r>
      <rPr>
        <rFont val="Arial"/>
        <b/>
        <color theme="1"/>
        <sz val="12.0"/>
      </rPr>
      <t>working</t>
    </r>
    <r>
      <rPr>
        <rFont val="Arial"/>
        <color theme="1"/>
        <sz val="12.0"/>
      </rPr>
      <t xml:space="preserve"> - however, email received display the ticket ID system of CMS which does not correspond to the ticket ID shown to users, potentially creating confusion whenever getting email notifications
setting this to "failed' status to bring this detail to attention</t>
    </r>
  </si>
  <si>
    <t>Verify that clicking the Ticket ID displays a pop-up notification showing the Ticket ID and the Certificate/s involved, matching past successful applications in the Ongoing tab</t>
  </si>
  <si>
    <t xml:space="preserve">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Click the Ticket ID number in the Ticket ID section. </t>
  </si>
  <si>
    <t xml:space="preserve">The following are the details for the Ticket ID:
Ticket ID: [number]
Issued Certificate/s:
• Displays the types of certificates selected by the user via checkboxes on the application form. </t>
  </si>
  <si>
    <t>Verify that the status displays “Certificate/s ready for claiming. Please bring a hard copy of all necessary requirements to be presented at the office.” once all requirements are submitted and approved</t>
  </si>
  <si>
    <t>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Observe the Status section on the Ongoing tab.</t>
  </si>
  <si>
    <t xml:space="preserve">Verify that the status displays “Missing requirements detected. Kindly see email and re-upload.” when required documents are not uploaded </t>
  </si>
  <si>
    <t>Verify that the user is able to see the amount of the certificate request when the status shows:
"Certificate/s ready for claiming. Please bring a hard copy of all necessary requirements to be presented at the office." after a successful application</t>
  </si>
  <si>
    <t>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Observe the Amount section on the Ongoing tab.</t>
  </si>
  <si>
    <t>Verify that the user is not able to see the amount of the certificate request when the status shows:
"Missing requirements detected.
Kindly see email and re-upload." after there are missing requirements in the application.</t>
  </si>
  <si>
    <t>Verify that the Date reflects the application or release date properly.</t>
  </si>
  <si>
    <t>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Observe the Date section on the Ongoing tab.</t>
  </si>
  <si>
    <t>Verify that the Make Payment button appears only for completed applications.</t>
  </si>
  <si>
    <t>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Click the Make Payment section on the Ongoing tab.</t>
  </si>
  <si>
    <t xml:space="preserve">Verify that clicking the Make Payment button navigates to the payment process page.
</t>
  </si>
  <si>
    <t>The Assessor's Office Header is displayed at the top of the page.
The Order of Payment section includes the following:
•  Name
   – A filled with the user’s full name.
•  Type
    – A field labeled “Type” shows the selected type of certificate application.
• Cost Breakdown
    – A list of charges is displayed, showing each certificate type and its corresponding fee.
Additional fixed fees are listed:
Processing Fee: 500 PHP
Printing Fee: 300 PHP
Total
     – The total amount is calculated and displayed based on the certificate fees and additional charges.
Proceed to Payment Button
    – A button labeled “Proceed to Payment” is shown.
Clicking the button proceeds to the payment process.</t>
  </si>
  <si>
    <t xml:space="preserve">Verify that the user is not able to click the "Make Payment" button if the status is "Missing requirements detected. Kindly see email and re-upload."
</t>
  </si>
  <si>
    <t>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Observe the Make Payment section on the Ongoing tab.</t>
  </si>
  <si>
    <t>Verify that the file upload button accepts valid file types for payment (Deposit Slip/Receipt).</t>
  </si>
  <si>
    <t>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Click the "Upload Deposit Slip/Payment Confirmation Receipt" on the Actions section on the Ongoing tab.</t>
  </si>
  <si>
    <t xml:space="preserve">Verify that uploading in the Action for the "Upload Deposit Slip/Payment
Confirmation Receipt" an invalid file type (e.g., .exe, .zip) is blocked with an error.
</t>
  </si>
  <si>
    <t>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Upload the invalid file type of "Upload Deposit Slip/Payment Confirmation Receipt" on the Actions section on the Ongoing tab.</t>
  </si>
  <si>
    <t>When the user attempts to upload an invalid file type (e.g., .exe, .zip) in the "Upload Deposit Slip/Payment Confirmation Receipt" section under the Actions column:
Upload is blocked immediately — the system does not accept the file.
A clear error message is displayed near the upload field or as a pop-up notification:
“Invalid file type. Only .jpg, .png, .docx, or .pdf files are allowed.”</t>
  </si>
  <si>
    <t>Verify that the Make Payment button does not appear if the status is "Missing requirements detected.
Kindly see email and re-upload."</t>
  </si>
  <si>
    <t>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Unable to "Upload Deposit Slip/Payment Confirmation Receipt" on the Actions section if the Status is "Missing requirements detected.
Kindly see email and re-upload."</t>
  </si>
  <si>
    <t xml:space="preserve">Verify that file upload fails if the file size exceeds the allowed limit (e.g., 20 MB).
</t>
  </si>
  <si>
    <t xml:space="preserve">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Unable to "Upload Deposit Slip/Payment Confirmation Receipt" on the Actions section if the file size is above 20MB. </t>
  </si>
  <si>
    <r>
      <rPr>
        <rFont val="Inter"/>
        <b/>
        <color theme="1"/>
        <sz val="12.0"/>
      </rPr>
      <t xml:space="preserve">USER STORY: 
DASHBOARD
</t>
    </r>
    <r>
      <rPr>
        <rFont val="Inter"/>
        <color theme="1"/>
        <sz val="12.0"/>
      </rPr>
      <t>As a registered user,
I want to view my past certificate claims (History) with Ticket IDs, dates, and the list of claimed certificates using a year filter and search,
so that I can access a full record of my completed applications for future reference or documentation.</t>
    </r>
  </si>
  <si>
    <t xml:space="preserve">Verify that the Year filter displays past years with successful transactions.
</t>
  </si>
  <si>
    <t xml:space="preserve">1. User must be on the Sta. Rosa Payroll Portal.
2. User must be on the Login page.
3. User must be logged in the Assessor's Office portal
4. User must be done submitting the Certificate of Application
5. User must be on the Dashboard on the History Ticket ID. </t>
  </si>
  <si>
    <t>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Click the "Year" filter button on the History tab.</t>
  </si>
  <si>
    <t xml:space="preserve">Verify that Date displays the correct claiming date for each ticket.
</t>
  </si>
  <si>
    <t>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Observe the Date section on the History tab.</t>
  </si>
  <si>
    <t xml:space="preserve">Verify that selecting a year with no records shows an appropriate message.
</t>
  </si>
  <si>
    <t>When the user selects a year from the Year filter dropdown in the History section:
If no transaction records exist for the selected year, the system displays a clear message such as:
“No records found for the selected year.”
The table view remains empty—no ticket rows are shown.</t>
  </si>
  <si>
    <t>Verify that entering a non-existent Ticket ID in the search bar returns no results.</t>
  </si>
  <si>
    <t xml:space="preserve">1. Search Assessor office login
2. Login with registered email and password and checkbox of T&amp;C. 
3. Click Submit button
4. Check OTP Verification sent on email. 
5. Put the OTP on the Verification 
6. Click the "New Request" button
7. Fill out all of the required field.
8. Click the Submit button
9. Click the Back to Home
10. Click the Understood and Submit
11. Navigate the Dashboard of the Assessor's Office
12. Click the Search bar on the History tab and type a random Ticket ID. </t>
  </si>
  <si>
    <t>When the user types a non-existent or invalid Ticket ID in the Search bar:
The system returns an empty result table with a clear message such as:
“No matching records found.”
No ticket data is displayed in the table.</t>
  </si>
  <si>
    <r>
      <rPr>
        <rFont val="Inter"/>
        <b/>
        <color theme="1"/>
        <sz val="12.0"/>
      </rPr>
      <t xml:space="preserve">USER STORY: 
</t>
    </r>
    <r>
      <rPr>
        <rFont val="Inter"/>
        <color theme="1"/>
        <sz val="12.0"/>
      </rPr>
      <t xml:space="preserve">
As a property owner,
I want to apply for both the</t>
    </r>
    <r>
      <rPr>
        <rFont val="Inter"/>
        <b/>
        <color theme="1"/>
        <sz val="12.0"/>
      </rPr>
      <t xml:space="preserve"> Certificate of True Copy of Tax Declaration and Transfer of Tax Declaration</t>
    </r>
    <r>
      <rPr>
        <rFont val="Inter"/>
        <color theme="1"/>
        <sz val="12.0"/>
      </rPr>
      <t xml:space="preserve">
So that I can process my property documentation
And claim it personally.</t>
    </r>
  </si>
  <si>
    <t>Verify that the user is able to select both the 'Certificate of True Copy of Tax Declaration' and 'Transfer of Tax Declaration' checkboxes at the same time under the Type of Certificate section.</t>
  </si>
  <si>
    <t>1. Search Assessor office login
2. Login with registered email and password and checkbox of T&amp;C. 
3. Click Submit button
4. Check OTP Verification sent on email. 
5. Put the OTP on the Verification 
6. Click the "New Request" button
7. Click the Certificate of True Copy of Tax Declaration under Type of Certificate
8. Click the transfer of Tax Declaration
9. Chose the Personal option under Claiming</t>
  </si>
  <si>
    <t>Type of Certificate:
The user successfully selects both of the following checkboxes:
a) Certificate of True Copy of Tax Declaration
b) Transfer of Tax Declaration
Claiming Method:
-- The user selects the Personal radio button.
ID of Property Owner with 3 Signatures:
- The required document is successfully uploaded via the drag-and-drop or upload file field.
Certification Requirements:
Note: All fields are mandatory. The system will not accept the submission if a document is not uploaded. Hover over the
information icon to see the list of Valid IDs.
The user uploads valid files (in jpg, png, docx, or pdf format) for all of the following:
a) Contract of Lease
b) Deed of Absolute Sale (DOAS)
c) Proof of Ownership
d) Contract to Sell
Company/Bank Developer:
- The user selects No.
Loan Mortgage:
- The user selects No.
Transfer of Tax Declaration Requirements:
The user uploads valid files for all required fields:
a) Certified True Copy of Title
b) Xerox Copy of Deed of Sale/Donation/Extra Judicial Settlement
c) Receipt from RD for New Title
d) Xerox Copy of C.A.R. (BIR)
e) Xerox Copy of Real Property Tax Receipt or Tax Clearance
f) Xerox of Transfer Tax Receipt or Certification of Transfer Tax
g) Copy of Subdivision Plan
h) Certified Cancelled Title
i) Certification of Sale
j) Affidavit of Consolidation of Ownership
Lot and Title Status Questions:
The user selects Yes for the following radio button questions:
a) Is the lot subdivided? → Yes
b) Has the Title been cancelled? → Yes
c) Is the lot foreclosed? → Yes
Terms &amp; Conditions Agreement:
The user checks the box for:
“I agree to the Terms &amp; Conditions of the City of Sta Rosa”
Final Actions:
The user can successfully click either of the following buttons to proceed:
Save as Draft
Submit</t>
  </si>
  <si>
    <t>Type of Certificate:
The user successfully selects both of the following checkboxes:
a) Certificate of True Copy of Tax Declaration
b) Transfer of Tax Declaration
Claiming Method:
-- The user selects the Personal radio button.
ID of Property Owner with 3 Signatures:
- The required document is successfully uploaded via the drag-and-drop or upload file field.
Certification Requirements:
Note: All fields are mandatory. The system will not accept the submission if a document is not uploaded. Hover over the information icon to see the list of Valid IDs.
The user uploads valid files (in jpg, png, docx, or pdf format) for all of the following:
a) Contract of Lease
b) Deed of Absolute Sale (DOAS)
c) Proof of Ownership
d) Contract to Sell
Company/Bank Developer:
- The user selects No.
Loan Mortgage:
- The user selects No.
Transfer of Tax Declaration Requirements:
The user uploads valid files for all required fields:
a) Certified True Copy of Title
b) Xerox Copy of Deed of Sale/Donation/Extra Judicial Settlement
c) Receipt from RD for New Title
d) Xerox Copy of C.A.R. (BIR)
e) Xerox Copy of Real Property Tax Receipt or Tax Clearance
f) Xerox of Transfer Tax Receipt or Certification of Transfer Tax
g) Copy of Subdivision Plan
h) Certified Cancelled Title
i) Certification of Sale
j) Affidavit of Consolidation of Ownership
Lot and Title Status Questions:
The user selects Yes for the following radio button questions:
a) Is the lot subdivided? → Yes
b) Has the Title been cancelled? → Yes
c) Is the lot foreclosed? → Yes
Terms &amp; Conditions Agreement:
The user checks the box for:
“I agree to the Terms &amp; Conditions of the City of Sta Rosa”
Final Actions:
The user can successfully click either of the following buttons to proceed:
Save as Draft
Submit</t>
  </si>
  <si>
    <t xml:space="preserve">Verify that submission is blocked if no Claiming option is selected (e.g. Personal and Authorized Representative).
</t>
  </si>
  <si>
    <t xml:space="preserve">1. Search Assessor office login
2. Login with registered email and password and checkbox of T&amp;C. 
3. Click Submit button
4. Check OTP Verification sent on email. 
5. Put the OTP on the Verification 
6. Click the "New Request" button
7. Click the Certificate of True Copy of Tax Declaration under Type of Certificate
8. Click the transfer of Tax Declaration
9. Forgot to choose on the "Claiming" section. </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</si>
  <si>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(accepted file types: jpg, png, docx, pdf).
 b) Upload field for Xerox Copy of Deed of Sale/Donation/Extra Judicial Settlement (accepted file types: jpg, png, docx, pdf).
c) Upload field for Receipt from RD for New Title (accepted file types: jpg, png, docx,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Upload field for Xerox of Transfer Tax Receipt or Certification of Transfer Tax (accepted file types: jpg, png, docx, pdf).
j) Upload field for Copy of Subdivision Plan (accepted file types: jpg, png, docx, pdf).
k) Upload field for Certified Cancelled Title (accepted file types: jpg, png, docx, pdf).
l) Upload field for Certification of Sale (accepted file types: jpg, png, docx, pdf).
m) Upload field for Affidavit of Consolidation of Ownership (accepted file types: jpg, png, docx, pdf).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</si>
  <si>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invalid file type (e.g., .exe, .zip) 
15. Accept the "I agree to the Terms &amp; Conditions of the City of Sta Rosa"
16.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</si>
  <si>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Do not upload on the  Certified True Copy of Title. 
15. Accept the "I agree to the Terms &amp; Conditions of the City of Sta Rosa"
16.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</si>
  <si>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</si>
  <si>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invalid file type (e.g., .exe, .zip)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</si>
  <si>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Do not upload for Xerox Copy of Deed of Sale/Donation/Extra Judicial Settlement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</si>
  <si>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</si>
  <si>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invalid file type  (e.g. exe, zip)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</si>
  <si>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Do not upload for Receipt from RD for New Title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</si>
  <si>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</si>
  <si>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</si>
  <si>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15. Upload valid files (jpg, png, docx, or pdf) for all the mandatory upload fields.
16. For the radio button fields (d, e, f), select Yes or No as appropriate.
17. Accept the "I agree to the Terms &amp; Conditions of the City of Sta Rosa"
17. Click Submit.</t>
  </si>
  <si>
    <t>"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</si>
  <si>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invalid file type (e.g., exe, zip)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</si>
  <si>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Do not upload for Xerox Copy of C.A.R. (BIR)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</si>
  <si>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</si>
  <si>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invalid file type (e.g., exe, zip)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</si>
  <si>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Do not upload for field for Xerox Copy of Real Property Tax Receipt or Tax Clearance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</si>
  <si>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Upload field for Xerox of Transfer Tax Receipt or Certification of Transfer Tax (accepted file types: jpg, png, docx, pdf).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</si>
  <si>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Upload field for Xerox of Transfer Tax Receipt or Certification of Transfer Tax invalid file type (e.g., exe, zip)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</si>
  <si>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Do not upload for Xerox of Transfer Tax Receipt or Certification of Transfer Tax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</si>
  <si>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Upload field for Xerox of Transfer Tax Receipt or Certification of Transfer Tax (accepted file types: jpg, png, docx, pdf).
  j) Upload field for Copy of Subdivision Plan (accepted file types: jpg, png, docx, pdf).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</si>
  <si>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Upload field for Xerox of Transfer Tax Receipt or Certification of Transfer Tax (accepted file types: jpg, png, docx, pdf).
  j) Upload field for Copy of Subdivision Plan invalid file type (e.g., exe, zip)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</si>
  <si>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Upload field for Xerox of Transfer Tax Receipt or Certification of Transfer Tax (accepted file types: jpg, png, docx, pdf).
  j) Do not upload for Copy of Subdivision Plan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</si>
  <si>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Upload field for Xerox of Transfer Tax Receipt or Certification of Transfer Tax (accepted file types: jpg, png, docx, pdf).
  j) Upload field for Copy of Subdivision Plan (accepted file types: jpg, png, docx, pdf).
  k) Upload field for Certified Cancelled Title (accepted file types: jpg, png, docx, pdf).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</si>
  <si>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Upload field for Xerox of Transfer Tax Receipt or Certification of Transfer Tax (accepted file types: jpg, png, docx, pdf).
  j) Upload field for Copy of Subdivision Plan (accepted file types: jpg, png, docx, pdf).
  k) Upload field for Certified Cancelled Title invalid file type (e.g., exe, zip)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</si>
  <si>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Upload field for Xerox of Transfer Tax Receipt or Certification of Transfer Tax (accepted file types: jpg, png, docx, pdf).
  j) Upload field for Copy of Subdivision Plan (accepted file types: jpg, png, docx, pdf).
  k) Do not upload for Certified Cancelled Title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</si>
  <si>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Upload field for Xerox of Transfer Tax Receipt or Certification of Transfer Tax (accepted file types: jpg, png, docx, pdf).
  j) Upload field for Copy of Subdivision Plan (accepted file types: jpg, png, docx, pdf).
  k) Upload field for Certified Cancelled Title (accepted file types: jpg, png, docx, pdf).
  l) Upload field for Certification of Sale (accepted file types: jpg, png, docx, pdf).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</si>
  <si>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Upload field for Xerox of Transfer Tax Receipt or Certification of Transfer Tax (accepted file types: jpg, png, docx, pdf).
  j) Upload field for Copy of Subdivision Plan (accepted file types: jpg, png, docx, pdf).
  k) Upload field for Certified Cancelled Title (accepted file types: jpg, png, docx, pdf).
  l) Upload field for Certification of Sale invalid file type (e.g., exe, zip)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</si>
  <si>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Upload field for Xerox of Transfer Tax Receipt or Certification of Transfer Tax (accepted file types: jpg, png, docx, pdf).
  j) Upload field for Copy of Subdivision Plan (accepted file types: jpg, png, docx, pdf).
  k) Upload field for Certified Cancelled Title (accepted file types: jpg, png, docx, pdf).
  l) Do not upload for Certification of Sale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</si>
  <si>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Upload field for Xerox of Transfer Tax Receipt or Certification of Transfer Tax (accepted file types: jpg, png, docx, pdf).
  j) Upload field for Copy of Subdivision Plan (accepted file types: jpg, png, docx, pdf).
  k) Upload field for Certified Cancelled Title (accepted file types: jpg, png, docx, pdf).
  l) Upload field for Certification of Sale (accepted file types: jpg, png, docx, pdf).
 m) Upload field for Affidavit of Consolidation of Ownership (accepted file types: jpg, png, docx, pdf).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</si>
  <si>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Upload field for Xerox of Transfer Tax Receipt or Certification of Transfer Tax (accepted file types: jpg, png, docx, pdf).
  j) Upload field for Copy of Subdivision Plan (accepted file types: jpg, png, docx, pdf).
  k) Upload field for Certified Cancelled Title (accepted file types: jpg, png, docx, pdf).
  l) Upload field for Certification of Sale (accepted file types: jpg, png, docx, pdf).
 m) Upload field for Affidavit of Consolidation of Ownership invalid file type (e.g., exe, zip)
15. Upload valid files (jpg, png, docx, or pdf) for all the mandatory upload fields.
16. For the radio button fields (d, e, f), select Yes or No as appropriate.
17. Accept the "I agree to the Terms &amp; Conditions of the City of Sta Rosa"
17. Click Submit.</t>
  </si>
  <si>
    <t xml:space="preserve">
1. Search for the Assessor Office login page.
2. Log in using a registered email and password, and check the Terms &amp; Conditions checkbox.
3. Click the Submit button. 
4. Check the OTP verification sent to the registered email.
5. Enter the OTP in the verification field.
6. Click the New Request button. 
7. Select Certificate of True Copy of Tax Declaration under Type of Certificate. 
8. Select Transfer of Tax Declaration under Type of Certificate. 
9. Choose the Personal option under Claiming. 
10. Upload a valid file (.jpg, .png, .docx, or .pdf) to the following fields:
       • Contract of Lease
       • Deed of Absolute Sale (DOAS)
       • Proof of Ownership
       • Contract to Sell
11. Select No for “Are you a Company/Bank Developer?”
12. Select No for “Is this a Loan Mortgage?”
13. Transfer of Tax Declaration Requirements
14. Verify that the Transfer of Tax Declaration Requirements section appears with the following fields:
  a) Upload field for Certified True Copy of Title file type  (jpg, png, docx, or pdf) 
  b) Upload field for Xerox Copy of Deed of Sale/Donation/Extra Judicial Settlement file type (jpg, png, docx, or pdf) 
  c) Upload field for Receipt from RD for New Title file type  (jpg, png, docx, or pdf) 
  d) Radio buttons for Is the lot subdivided? with options Yes and No.
  e) Radio buttons for Has the Title been cancelled? with options Yes and No.
  f) Radio buttons for Is the lot foreclosed? with options Yes and No.
  g) Upload field for Xerox Copy of C.A.R. (BIR) (accepted file types: jpg, png, docx, pdf).
  h) Upload field for Xerox Copy of Real Property Tax Receipt or Tax Clearance (accepted file types: jpg, png, docx, pdf).
  i) Upload field for Xerox of Transfer Tax Receipt or Certification of Transfer Tax (accepted file types: jpg, png, docx, pdf).
  j) Upload field for Copy of Subdivision Plan (accepted file types: jpg, png, docx, pdf).
  k) Upload field for Certified Cancelled Title (accepted file types: jpg, png, docx, pdf).
  l) Upload field for Certification of Sale (accepted file types: jpg, png, docx, pdf).
 m) Do not upload for Affidavit of Consolidation of Ownership. 
15. Upload valid files (jpg, png, docx, or pdf) for all the mandatory upload fields.
16. For the radio button fields (d, e, f), select Yes or No as appropriate.
17. Accept the "I agree to the Terms &amp; Conditions of the City of Sta Rosa"
17. Click Submit.</t>
  </si>
  <si>
    <r>
      <rPr>
        <rFont val="Inter"/>
        <b/>
        <color theme="1"/>
        <sz val="12.0"/>
      </rPr>
      <t xml:space="preserve">USER STORY: 
</t>
    </r>
    <r>
      <rPr>
        <rFont val="Inter"/>
        <color theme="1"/>
        <sz val="12.0"/>
      </rPr>
      <t xml:space="preserve">
As a system admistrator,
I want to configure and </t>
    </r>
    <r>
      <rPr>
        <rFont val="Inter"/>
        <b/>
        <color theme="1"/>
        <sz val="12.0"/>
      </rPr>
      <t>edit email templates</t>
    </r>
    <r>
      <rPr>
        <rFont val="Inter"/>
        <color theme="1"/>
        <sz val="12.0"/>
      </rPr>
      <t xml:space="preserve"> based on request status,
So that the system can automatically send appropriate and customizable notifications to users at </t>
    </r>
    <r>
      <rPr>
        <rFont val="Inter"/>
        <b/>
        <color theme="1"/>
        <sz val="12.0"/>
      </rPr>
      <t>each stage of their certificate request.</t>
    </r>
  </si>
  <si>
    <t xml:space="preserve">Verify that the admin can open the Draft template editor.
</t>
  </si>
  <si>
    <t>1. The admin must go to http://68.183.231.65/admin.
2. The admin must log in using their credentials.
3. The admin must navigate to the AO – Assessor's Office section.
4. The admin must click on Email Templates.</t>
  </si>
  <si>
    <t>1. Admin should click on the AO – Assessor's Office section.
2. Admin should click on the Email Templates option.
3. Admin should click the Edit action corresponding to the Draft status.</t>
  </si>
  <si>
    <t>Page Title:
Certificate Request Templates - Edit certificate request template
Fields Displayed:
• Subject field display the subject title of the email (indicated by red asterisk *).
• Body field should display the following: (indicated by red asterisk *)
- The WYSIWYG toolbar above the body field should be functional and include:
a) Basic formatting tools (bold, italic, underline, alignment)
b) List formatting
c) Insert variables, tables, links, and source code toggle
• Buttons at the bottom:
a) Save and back – should save the changes to the email template and redirect the admin to the main list.
b) Cancel – should discard any changes and return to the certificate request templates list.</t>
  </si>
  <si>
    <t>Verify that the admin can successfully edit and save the subject and body of the Draft template.</t>
  </si>
  <si>
    <t>1. Admin navigates to the Draft email template edit page.
2. Admin modifies the subject and body content.
3. Admin clicks the 'Save and back' button.</t>
  </si>
  <si>
    <t>Verify that placeholders (e.g., &lt;$name&gt;, &lt;$request_id&gt;) can be included in the body and retained after saving.</t>
  </si>
  <si>
    <t>1. Admin enters valid placeholders like &lt;$name&gt; and &lt;$request_id&gt; in the body field.
2. Admin clicks 'Save and back'.</t>
  </si>
  <si>
    <t>Verify that HTML formatting (e.g., &lt;b&gt;, &lt;br&gt;) is preserved in the body after saving.</t>
  </si>
  <si>
    <t>1. Admin formats the email body using the WYSIWYG toolbar (e.g., bold text, line breaks).
2. Admin clicks 'Save and back'.</t>
  </si>
  <si>
    <t>HTML formatting (e.g., bold text, line breaks) is correctly preserved.
Text appears styled as intended in the WYSIWYG preview.</t>
  </si>
  <si>
    <t xml:space="preserve">Verify that saving the Draft template with a blank subject triggers a validation error.
</t>
  </si>
  <si>
    <t>1. Clear the Subject field.
2. Click “Save and back”.</t>
  </si>
  <si>
    <t>System prevents saving and displays error: 
"Please fix the following errors:
The subject field is required.
The body field is required."
No redirection occurs. The red asterisk remains visible beside the empty field.</t>
  </si>
  <si>
    <t xml:space="preserve">Verify that saving the Draft template with a blank body triggers a validation error.
</t>
  </si>
  <si>
    <t>1. Clear the Body field.
2. Click “Save and back”.</t>
  </si>
  <si>
    <t>System prevents saving and displays error:
"Please fix the following errors:
The subject field is required.
The body field is required."
The user remains on the editor page. The WYSIWYG toolbar remains enabled but body is highlighted for correction.</t>
  </si>
  <si>
    <t xml:space="preserve">Verify that excessively long subject lines are rejected or trimmed as per system limits.
</t>
  </si>
  <si>
    <t>1. Input more than 255 characters in the Subject field.
2. Click “Save and back”</t>
  </si>
  <si>
    <t>System shows error: “Subject cannot exceed 255 characters.”
If auto-trimmed, subject is saved with only the first 255 characters.</t>
  </si>
  <si>
    <t>Verify that special characters in subject/body are handled correctly (e.g., &amp;, &lt;, &gt;, " ").</t>
  </si>
  <si>
    <t>1. Input characters like &lt;, &gt;, &amp;, " in the subject and body.
2. Click "Save and back".</t>
  </si>
  <si>
    <t>Special characters are properly escaped and displayed correctly.
No script execution or layout breakage occurs. Characters like &amp; become &amp;amp;, &lt; becomes &amp;lt;, etc.</t>
  </si>
  <si>
    <t xml:space="preserve">Verify that "Cancel" button discards changes and redirects back without saving.
</t>
  </si>
  <si>
    <t>1. Enter changes in Subject and Body.
2. Click “Cancel” without saving.</t>
  </si>
  <si>
    <t xml:space="preserve">Verify that the “Back to all certificate request templates” link redirects to the main template list.	</t>
  </si>
  <si>
    <t>1. Click the “Back to all certificate request templates” link at the top of the editor.</t>
  </si>
  <si>
    <t xml:space="preserve">Page Title:
Certificate Request Templates
Displayed Elements:
Header Section:
Displays the page title: "Certificate Request Templates".
Breadcrumb navigation at the top right: Admin &gt; Certificate Request Templates &gt; List.
Table Columns:
• Status – Displays the status label for each certificate email template (e.g., Draft, Pending review, Under review, etc.).
• Subject – Displays the email subject corresponding to each status. Long subjects are truncated with an ellipsis [...] to fit the table layout.
• Actions – Contains an Edit button for each entry, allowing admin users to modify the email template for that specific status.
Functional Elements:
• Search Bar – Allows admin users to filter or search templates by status or subject.
• Pagination Controls – Allows navigation through pages when more than 25 entries exist. A dropdown (records per page) is also provided to control how many entries are shown.
• Edit Buttons – Each row includes a clickable Edit button (pencil icon) that redirects the admin to the corresponding template editor.
Visual Behavior:
a) Page shows a summary table listing 9 certificate email templates, each mapped to a specific status.
b) The system defaults to showing 25 records per page, with pagination controls visible at the bottom right.
c) All actions are enabled and clickable.
</t>
  </si>
  <si>
    <t xml:space="preserve">Verify that the admin can open the Pending Review template editor.
</t>
  </si>
  <si>
    <t>1. Admin clicks on AO – Assessor's Office section.
2. Admin clicks on the Email Templates option.
3. Admin clicks the Edit action for the Pending Review template.</t>
  </si>
  <si>
    <t>Page Title:
Certificate Request Templates - Edit certificate request template
Fields Displayed:
• Subject field displays the subject title of the email (indicated by red asterisk *).
• Body field should display the following (indicated by red asterisk *):
– The WYSIWYG toolbar above the body field should be functional and include:
 a) Basic formatting tools (bold, italic, underline, alignment)
 b) List formatting
 c) Insert variables, tables, links, and source code toggle
Buttons at the bottom:
a) Save and back – should save the changes and redirect the admin to the template list.
b) Cancel – should discard any changes and return to the template list.</t>
  </si>
  <si>
    <t xml:space="preserve">Verify that the admin can successfully edit and save the subject and body of the Pending Review template.
</t>
  </si>
  <si>
    <t>1. Follow steps in TC-11.
2. Edit both Subject and Body fields with valid content.
3. Click Save and back.</t>
  </si>
  <si>
    <t xml:space="preserve">Verify that placeholders (e.g., &lt;$name&gt;, &lt;$request_id&gt;, &lt;$transaction_date&gt;, &lt;$certificates_requested&gt;) can be included in the body and retained after saving.
</t>
  </si>
  <si>
    <t>1. Insert placeholders &lt;$name&gt;, &lt;$request_id&gt;, &lt;$transaction_date&gt;, &lt;$certificates_requested&gt; in the body.
2. Click Save and back.
3. Re-open the same template.</t>
  </si>
  <si>
    <t>Placeholders remain intact and are preserved after saving.
They appear exactly as entered (&lt;$name&gt;, &lt;$request_id&gt;, etc.) in the body text field.
No encoding or formatting issues.</t>
  </si>
  <si>
    <t>Verify that HTML formatting (e.g., &lt;b&gt;, &lt;br&gt;) is preserved in the body after saving in Pending Review template.</t>
  </si>
  <si>
    <t>1. Apply HTML formatting in the body (e.g., bold, italic, line break &lt;br&gt;).
2. Click Save and back.
3. Reopen to confirm formatting.</t>
  </si>
  <si>
    <t>HTML formatting such as bold (&lt;b&gt;), italics (&lt;i&gt;), and breaks (&lt;br&gt;) are preserved.</t>
  </si>
  <si>
    <t xml:space="preserve">Verify that saving the Pending Review template with a blank subject triggers a validation error.
</t>
  </si>
  <si>
    <t>1. Clear the Subject field.
2. Leave the Body as is.
3. Click Save and back.</t>
  </si>
  <si>
    <t xml:space="preserve">Verify that saving the Pending Review template with a blank body triggers a validation error.
</t>
  </si>
  <si>
    <t>1. Clear the Body field.
2. Leave the Subject as is.
3. Click Save and back.</t>
  </si>
  <si>
    <t xml:space="preserve">Verify that excessively long subject lines are rejected or trimmed as per system limits for the Pending Review templates
</t>
  </si>
  <si>
    <t>1. Input more than 255 characters in the Subject field.
2. Click Save and back.</t>
  </si>
  <si>
    <t>Shows a validation message such as “Subject exceeds maximum length.”
Subject must comply with length constraint to proceed.</t>
  </si>
  <si>
    <t xml:space="preserve">Verify that special characters in subject/body are handled correctly (e.g., &amp;, &lt;, &gt;, ") in the Pending Review templates.
</t>
  </si>
  <si>
    <t>1. Enter special characters in the Subject and Body fields (e.g., &amp;, &lt;, &gt;, ").
2. Click Save and back.
3. Reopen the template.</t>
  </si>
  <si>
    <t>Special characters are properly encoded and retained:
• &lt; becomes &amp;lt;, &gt; becomes &amp;gt;, &amp; becomes &amp;amp;, etc.
No rendering errors or XSS vulnerabilities are introduced.</t>
  </si>
  <si>
    <t xml:space="preserve">Verify that the "Cancel" button discards changes and redirects back without saving in the Pending Review templates.
</t>
  </si>
  <si>
    <t>1. Make edits in the Subject and/or Body field.
2. Click the Cancel button.</t>
  </si>
  <si>
    <t>Changes are discarded.
Admin is redirected back to the Certificate Request Templates list view.
Previous subject/body content is retained without modification.</t>
  </si>
  <si>
    <t xml:space="preserve">Verify that the admin can open the Under Review template editor.
</t>
  </si>
  <si>
    <t>1. Admin should click on the AO – Assessor's Office section.
2. Click on the Email Templates option.
3. Click the Edit button next to “Under Review.”</t>
  </si>
  <si>
    <t>Page Title:
Certificate Request Templates - Edit certificate request template
Fields Displayed:
• Subject field with red asterisk (*)
• Body field with WYSIWYG toolbar:
  a) Bold, Italic, Underline, Alignment
  b) List Formatting
  c) Insert Variables, Tables, Links, Source Toggle
Buttons at the bottom:
• Save and back – saves changes
• Cancel – discards changes</t>
  </si>
  <si>
    <t xml:space="preserve">Verify that the admin can successfully edit and save the subject and body of the Under Review template.
</t>
  </si>
  <si>
    <t>1. Edit the subject and body fields with valid input.
2. Click “Save and back.”</t>
  </si>
  <si>
    <t>Edits to the Subject and Body fields are accepted. 
Upon clicking “Save and back,” the system stores the changes and redirects to the Certificate Request Templates list. 
All formatting, inserted placeholders, and text are retained.</t>
  </si>
  <si>
    <t xml:space="preserve">Verify that the placeholders such as &lt;$name&gt;, &lt;$request_id&gt;, and &lt;$transaction_date&gt; can be inserted in the email body on Under Review.
</t>
  </si>
  <si>
    <t>1. Enter placeholders &lt;$name&gt;, &lt;$request_id&gt;, and &lt;$transaction_date&gt; into the body field.
2. Click “Save and back.”</t>
  </si>
  <si>
    <t xml:space="preserve">When saved, all inserted placeholders (&lt;$name&gt;, &lt;$request_id&gt;, &lt;$transaction_date&gt;) remain in the body field without being removed or escaped. 
These placeholders are preserved exactly as entered and are used for dynamic email rendering.
</t>
  </si>
  <si>
    <t xml:space="preserve">Verify that formatting tags (e.g., &lt;b&gt;, &lt;br&gt;, &lt;ul&gt;) are preserved after saving the email body.
</t>
  </si>
  <si>
    <t>1. Apply formatting using the WYSIWYG toolbar.
2. Save the changes.</t>
  </si>
  <si>
    <t xml:space="preserve">All formatting (e.g., &lt;b&gt;, &lt;br&gt;, &lt;ul&gt;) applied using the WYSIWYG editor is stored and retained after saving. 
On reloading the template, the formatting remains visible and functional within the editor.
</t>
  </si>
  <si>
    <t xml:space="preserve">Verify that clicking the "Back to all certificate request templates" button redirects the admin to the full list view for the Under Review template section. 
</t>
  </si>
  <si>
    <t>1. Click “Back to all certificate request templates” at the top of the editor page.</t>
  </si>
  <si>
    <t>Page Title:
Certificate Request Templates
Displayed Elements:
Header Section:
Displays the page title: "Certificate Request Templates".
Breadcrumb navigation at the top right: Admin &gt; Certificate Request Templates &gt; List.
Table Columns:
• Status – Displays the status label for each certificate email template (e.g., Draft, Pending review, Under review, etc.).
• Subject – Displays the email subject corresponding to each status. Long subjects are truncated with an ellipsis [...] to fit the table layout.
• Actions – Contains an Edit button for each entry, allowing admin users to modify the email template for that specific status.
Functional Elements:
• Search Bar – Allows admin users to filter or search templates by status or subject.
• Pagination Controls – Allows navigation through pages when more than 25 entries exist. A dropdown (records per page) is also provided to control how many entries are shown.
• Edit Buttons – Each row includes a clickable Edit button (pencil icon) that redirects the admin to the corresponding template editor.
Visual Behavior:
a) Page shows a summary table listing 9 certificate email templates, each mapped to a specific status.
b) The system defaults to showing 25 records per page, with pagination controls visible at the bottom right.
c) All actions are enabled and clickable.</t>
  </si>
  <si>
    <t xml:space="preserve">Verify that the WYSIWYG editor allows line breaks, bullet lists, and styling (bold, italic).
</t>
  </si>
  <si>
    <t>1. Use the WYSIWYG editor to apply:
a) Bold and Italic
b) Line breaks (Enter)
c) Bulleted/numbered list formatting</t>
  </si>
  <si>
    <t xml:space="preserve">The WYSIWYG editor enables multi-line input, bullet/numbered lists, and text styling such as bold and italic. 
Applied formats are rendered in the editor and retained after saving.
</t>
  </si>
  <si>
    <t xml:space="preserve">Verify that the system displays a validation error when the subject field is left blank.
</t>
  </si>
  <si>
    <t>1. Clear the subject field.
2. Click “Save and back.”</t>
  </si>
  <si>
    <t xml:space="preserve">Verify that the system displays a validation error when the body field is left blank.
</t>
  </si>
  <si>
    <t>1. Clear the body field.
2. Click “Save and back.”</t>
  </si>
  <si>
    <t xml:space="preserve">Verify that the admin can open and edit the "Requires Changes" email template.	</t>
  </si>
  <si>
    <t>1. Admin should click on the AO – Assessor's Office section.
2. Admin should click on the Email Templates option.
3. Admin should click the Edit button for “Requires Changes”.</t>
  </si>
  <si>
    <t>Page Title:
Certificate Request Templates - Edit certificate request template
Fields Displayed:
• Subject field displays the subject title (red asterisk *).
• Body field displays:
– WYSIWYG toolbar (bold, italic, underline, alignment)
– List formatting
– Insert variables, tables, links, source code
Buttons at the bottom:
a) Save and back – saves changes and redirects to the main list.
b) Cancel – discards changes and returns to template list.</t>
  </si>
  <si>
    <t>Verify that the subject field can be modified and saved on the "Require Changes."</t>
  </si>
  <si>
    <t>1. Open “Requires Changes” editor.
2. Modify the Subject field with new text.
3. Click “Save and back”.</t>
  </si>
  <si>
    <t>Modified subject is saved and reflected in the main template list.</t>
  </si>
  <si>
    <t>Verify that the body field accepts edits and formatting changes on the "Require Changes."</t>
  </si>
  <si>
    <t>1. Open editor.
2. Edit body content using WYSIWYG tools.
3. Apply formatting (bold, italic, bullet).
4. Click “Save and back”.</t>
  </si>
  <si>
    <t>Page Title:
Certificate Request Templates - Edit certificate request template
Fields Displayed:
• Modified subject appears in the Subject field.
• Confirmation that new subject is saved and reflected in the list.
Buttons at the bottom:
a) Save and back – saves changes and redirects to the main list.</t>
  </si>
  <si>
    <t>Verify that placeholders &lt;$name&gt;, &lt;$request_id&gt;, &lt;$transaction_date&gt;, &lt;$certificates_requested&gt;, &lt;$reasons_for_changes&gt;, &lt;$assessor_notes&gt; remain intact on the "Require Changes".</t>
  </si>
  <si>
    <t>1. Open editor.
2. Insert all placeholders in the body.
3. Save changes.
4. Reopen editor.</t>
  </si>
  <si>
    <t>Fields Displayed:
• Body field displays formatted content with applied styles.
• WYSIWYG editor retains formatting changes.</t>
  </si>
  <si>
    <t>Verify that validation is triggered when the subject field is left blank on "Requires Changes".</t>
  </si>
  <si>
    <t>1. Open editor.
2. Clear Subject field.
3. Click “Save and back”.</t>
  </si>
  <si>
    <t>Fields Displayed:
• File is uploaded and appears in the section.
• System accepts the format without error.</t>
  </si>
  <si>
    <t>Verify that validation is triggered when the body field is left blank on "Requires Changes".</t>
  </si>
  <si>
    <t>1. Open editor.
2. Clear Body content.
3. Click “Save and back”.</t>
  </si>
  <si>
    <t>Fields Displayed:
• All inserted placeholders are preserved in the body field.
• None of the variables are altered or removed.</t>
  </si>
  <si>
    <t xml:space="preserve">Verify that clicking "Save and back" saves the current changes and returns to the main list on "Requires Changes".	</t>
  </si>
  <si>
    <t>1. Edit Subject or Body.
2. Click “Save and back”.</t>
  </si>
  <si>
    <t>Page Title:
Certificate Request Templates - Edit certificate request template
Fields Displayed:
• All changes are saved.
Navigation:
• Admin is redirected to the Certificate Request Templates list.</t>
  </si>
  <si>
    <t xml:space="preserve">Verify that clicking "Cancel" discards unsaved changes and returns to the template list.        </t>
  </si>
  <si>
    <t>1. Make unsaved edits to Subject or Body.
2. Click “Cancel”.</t>
  </si>
  <si>
    <t>Behavior:
• Unsaved changes are not retained.
• Admin is redirected to the Certificate Request Templates list.</t>
  </si>
  <si>
    <t>Verify that the WYSIWYG editor functions for bold, italic, underline, list, and table formatting on "Requires Changes".</t>
  </si>
  <si>
    <t>1. Open the editor.
2. Use each WYSIWYG tool (bold, italic, underline, list, table).
3. Save.
4. Reopen to verify.</t>
  </si>
  <si>
    <t>Fields Displayed:
• Formatting changes are rendered in the Body field.
• Toolbar options work as expected.</t>
  </si>
  <si>
    <t xml:space="preserve">Verify that the subject length does not exceed system limits (e.g., 255 characters) on "Requires Changes". </t>
  </si>
  <si>
    <t>1. Enter subject with over 255 characters.
2. Attempt to save.</t>
  </si>
  <si>
    <t>Please fix the following errors:
The subject may not be greater than 255 characters.
Action Behavior: 
Submission is blocked</t>
  </si>
  <si>
    <t xml:space="preserve">Verify that the admin can open and edit the "Awaiting Payment" email template.
</t>
  </si>
  <si>
    <t>1. Admin clicks on the AO – Assessor's Office section.
2. Admin selects the Email Templates option.
3. Admin clicks the Edit button for “Awaiting Payment”.</t>
  </si>
  <si>
    <t xml:space="preserve">Verify that the subject field can be modified and saved on the "Awaiting Payment".
</t>
  </si>
  <si>
    <t>1. Open “Awaiting Payment” template editor.
2. Modify the subject field.
3. Click “Save and back”.</t>
  </si>
  <si>
    <t>Page Title:
Certificate Request Templates - Edit certificate request template
Fields Displayed:
• Subject field reflects updated text after saving.
Navigation:
• Admin is returned to the certificate request template list view.
• New subject is displayed in the table.</t>
  </si>
  <si>
    <t xml:space="preserve">Verify that placeholders &lt;$name&gt;, &lt;$request_id&gt;, &lt;$transaction_date&gt;, &lt;$certificates_requested&gt;, &lt;$amount_due&gt; remain intact on the "Awaiting Payment".
</t>
  </si>
  <si>
    <t>1. Insert all placeholders in the body.
2. Save the changes.
3. Reopen the template.</t>
  </si>
  <si>
    <t>Page Title:
Certificate Request Templates - Edit certificate request template
Behavior:
• All inserted placeholders are preserved and displayed exactly as inputted (not stripped or encoded).</t>
  </si>
  <si>
    <t xml:space="preserve">Verify that validation is triggered when the subject field is left blank on "Awaiting Payment".
</t>
  </si>
  <si>
    <t xml:space="preserve">Verify that validation is triggered when the body field is left blank on "Awaiting Payment".
</t>
  </si>
  <si>
    <t>1. Clear the Body field.
2. Click “Save and back”</t>
  </si>
  <si>
    <t xml:space="preserve">Verify that clicking "Save and back" saves the current changes and returns to the main list on "Awaiting Payment".
</t>
  </si>
  <si>
    <t>1. Edit the subject and/or body.
2. Click “Save and back”.</t>
  </si>
  <si>
    <t>Behavior:
• Changes are saved.
• Admin is redirected to the template list.
• Updated content is reflected in the table.</t>
  </si>
  <si>
    <t xml:space="preserve">Verify that clicking "Cancel" discards unsaved changes and returns to the template list on "Awaiting Payment".
</t>
  </si>
  <si>
    <t>1. Edit the subject/body without saving.
2. Click “Cancel”.</t>
  </si>
  <si>
    <t>Behavior:
• No changes are saved.
• Admin is redirected back to the main list.</t>
  </si>
  <si>
    <t xml:space="preserve">Verify that the WYSIWYG editor functions for bold, italic, underline, list, and table formatting on "Awaiting Payment".
</t>
  </si>
  <si>
    <t>1. Use the toolbar to apply formatting.
2. Save the template.
3. Reopen to verify.</t>
  </si>
  <si>
    <t>Fields Displayed:
• Body field reflects formatting as applied.
• WYSIWYG toolbar remains functional.</t>
  </si>
  <si>
    <t xml:space="preserve">Verify that the subject length does not exceed system limits (e.g., 255 characters) on "Awaiting Payment".
</t>
  </si>
  <si>
    <t>1. Enter more than 255 characters in the subject field.
2. Click Save.</t>
  </si>
  <si>
    <t xml:space="preserve">Verify that the admin can open and edit the "Payment Verification" email template.	</t>
  </si>
  <si>
    <t>1. Admin clicks AO – Assessor's Office.
2. Clicks Email Templates.
3. Clicks the Edit button beside “Payment Verification”.</t>
  </si>
  <si>
    <t xml:space="preserve">Verify that the subject field of the "Payment Verification" template can be modified and saved.        </t>
  </si>
  <si>
    <t>1. Open the "Payment Verification" template.
2. Change the subject line.
3. Click “Save and back”.</t>
  </si>
  <si>
    <t xml:space="preserve">
Result:
• Subject is saved and displayed in the list view.
• Admin is redirected back to the template list.</t>
  </si>
  <si>
    <t xml:space="preserve">Verify that the body of the "Payment Verification" template accepts text and formatting edits.	</t>
  </si>
  <si>
    <t>1. Open template.
2. Add formatted text using the toolbar (e.g., bold, lists, etc.).
3. Click Save and reopen the template.</t>
  </si>
  <si>
    <t>Result:
• Body retains all formatting (bold, italic, list, etc.).
• WYSIWYG editor is functional.</t>
  </si>
  <si>
    <t xml:space="preserve">Verify that all placeholders (&lt;$name&gt;, &lt;$request_id&gt;, &lt;$transaction_date&gt;, &lt;$payment_method&gt;, &lt;$certificates_requested&gt;) are preserved after editing the "Payment Verification" template.	</t>
  </si>
  <si>
    <t>1. Insert all placeholders in the email body.
2. Save the template.
3. Reopen and inspect.</t>
  </si>
  <si>
    <t>Result:
• All placeholders remain intact and unaltered after saving.
• Placeholders are editable text strings.</t>
  </si>
  <si>
    <t xml:space="preserve">Verify that a validation error appears if the subject field of the "Payment Verification" template is left blank.	</t>
  </si>
  <si>
    <t>1. Open template editor.
2. Clear subject.
3. Click Save and back.</t>
  </si>
  <si>
    <t xml:space="preserve">Verify that a validation error appears if the body of the "Payment Verification" template is left blank.        </t>
  </si>
  <si>
    <t>1. Clear the body content.
2. Click Save and back.</t>
  </si>
  <si>
    <t xml:space="preserve">Verify that clicking "Save and back" saves the edited subject and body of the "Payment Verification" template.	</t>
  </si>
  <si>
    <t>1. Edit subject and body.
2. Click Save and back.</t>
  </si>
  <si>
    <t>Results:
• All edits are saved.
• Admin is redirected to Email Templates list.
• Updated values are shown in the table.</t>
  </si>
  <si>
    <t xml:space="preserve">Verify that the WYSIWYG formatting tools (bold, italic, underline, list) function correctly in the "Payment Verification" template.	</t>
  </si>
  <si>
    <t>1. Use toolbar tools (e.g., bold, underline, bullet list).
2. Save and reopen.</t>
  </si>
  <si>
    <t>Result:
• Applied formatting is preserved.
• Toolbar buttons are responsive and update the content correctly.</t>
  </si>
  <si>
    <t xml:space="preserve">Verify that the subject field of the "Payment Verification" template is limited to 255 characters.	</t>
  </si>
  <si>
    <t xml:space="preserve">Verify that the &lt;$payment_method&gt; placeholder in the "Payment Verification" template displays the correct value when rendered in the email.	</t>
  </si>
  <si>
    <t>1. Clicks Edit on the Payment Verification template.
2. Confirms that &lt;$payment_method&gt; is included in the body field.
3. Submits a certificate request on the user portal and selects a payment method (e.g., Pay Online or Over-the-Counter).
4. Completes the payment.
5. Waits for the Payment Verification email to be triggered.
6. Checks the received email in the user's inbox.</t>
  </si>
  <si>
    <t>Email Rendering Behavior:
• The placeholder &lt;$payment_method&gt; is dynamically replaced with the user-selected payment option (e.g., “Pay Online”, “Over-the-Counter”).
• Example result in the email:
Payment Method: Pay Online
Content Validation:
• The rest of the email should retain structure and formatting.</t>
  </si>
  <si>
    <t xml:space="preserve">Verify that the admin can open and edit the "Payment Verified" email template.	</t>
  </si>
  <si>
    <t>1. Admin clicks AO – Assessor's Office.
2. Clicks Email Templates.
3. Clicks the Edit button beside “Payment Verified”.</t>
  </si>
  <si>
    <t xml:space="preserve">Verify that the subject field of the "Payment Verified" template can be modified and saved.	</t>
  </si>
  <si>
    <t>1. Open the "Payment Verified" template.
2. Change the subject line.
3. Click “Save and back”.</t>
  </si>
  <si>
    <t>Fields Displayed:
• Subject field displays the subject title (red asterisk *).
• Body field displays:
– WYSIWYG toolbar (bold, italic, underline, alignment)
– List formatting
– Insert variables, tables, links, source code</t>
  </si>
  <si>
    <t xml:space="preserve">Verify that all default placeholders (&lt;$name&gt;, &lt;$request_id&gt;, &lt;$transaction_date&gt;, &lt;$certificates_requested&gt;) are preserved after editing.	</t>
  </si>
  <si>
    <t>1. Insert/update placeholders in the body.
2. Click Save.
3. Reopen template.</t>
  </si>
  <si>
    <t xml:space="preserve">Verify that saving is blocked when the subject field of the "Payment Verified" template is left empty.	</t>
  </si>
  <si>
    <t xml:space="preserve">Verify that saving is blocked when the body field of the "Payment Verified" template is left empty.	</t>
  </si>
  <si>
    <t xml:space="preserve">Verify that clicking "Save and back" on the "Payment Verified" template saves changes and returns to the template list.        </t>
  </si>
  <si>
    <t>1. Modify subject or body.
2. Click Save and back.</t>
  </si>
  <si>
    <t xml:space="preserve">Verify that clicking "Cancel" discards any unsaved changes to the "Payment Verified" template.        </t>
  </si>
  <si>
    <t>Verify that the WYSIWYG editor formatting options (e.g., bold, italic, underline) work in the "Payment Verified" body.</t>
  </si>
  <si>
    <t xml:space="preserve">Verify that the subject line for the "Payment Verified" email is restricted to a maximum of 255 characters.	</t>
  </si>
  <si>
    <t xml:space="preserve">Verify that placeholder &lt;$request_id&gt; is dynamically replaced with the correct request ID during email generation in the "Payment Verified"    </t>
  </si>
  <si>
    <t>1. Save body with &lt;$request_id&gt;.
2. Trigger actual email sending.
3. Check received email.</t>
  </si>
  <si>
    <t>Page Title:
Certificate Request Templates - Edit certificate request template
Fields Displayed:
• Subject field displays the subject title (red asterisk *).
• Body field displays placeholder format in editor.
Runtime Behavior:
• Upon sending, &lt;$request_id&gt; is replaced by the real request ID in the actual email output.
Buttons at the bottom:
a) Save and back – saves changes.
b) Cancel – discards changes.</t>
  </si>
  <si>
    <t xml:space="preserve">Verify that the admin can open and edit the "Certificate for Claiming" email template.	</t>
  </si>
  <si>
    <t>1. Admin logs in and navigates to AO – Assessor's Office.
2. Admin clicks Email Templates.
3. Admin clicks Edit on the "Certificate for Claiming" row.</t>
  </si>
  <si>
    <t xml:space="preserve">Verify that the subject field of the "Certificate for Claiming" template is editable and saved correctly.	</t>
  </si>
  <si>
    <t>1. Admin opens the template editor.
2. Admin modifies the Subject field.
3. Clicks "Save and back".</t>
  </si>
  <si>
    <t xml:space="preserve">Verify that the body content of the "Certificate for Claiming" email is editable with formatting.	</t>
  </si>
  <si>
    <t>1. Admin modifies the body using WYSIWYG toolbar (e.g., bold, list).
2. Clicks Save and back.</t>
  </si>
  <si>
    <t>Verify that all placeholders (&lt;$name&gt;, &lt;$request_id&gt;, &lt;$transaction_date&gt;, &lt;$certificates_requested&gt;) are preserved after editing in the "Certificate of Claiming".</t>
  </si>
  <si>
    <t>1. Admin ensures placeholders &lt;$name&gt;, &lt;$request_id&gt;, &lt;$transaction_date&gt;, &lt;$certificates_requested&gt; are present.
2. Clicks Save and back.</t>
  </si>
  <si>
    <t xml:space="preserve">Fields Displayed:
• Subject field displays the subject title (red asterisk *).
• Body field displays:
– Preserved placeholders:
   • &lt;$name&gt;
   • &lt;$request_id&gt;
   • &lt;$transaction_date&gt;
   • &lt;$certificates_requested&gt;
– WYSIWYG toolbar remains functional
</t>
  </si>
  <si>
    <t xml:space="preserve">Verify that saving is blocked when the subject is left blank in "Certificate for Claiming".	</t>
  </si>
  <si>
    <t xml:space="preserve">Verify that saving is blocked when the body is left blank in "Certificate for Claiming".	</t>
  </si>
  <si>
    <t xml:space="preserve">Verify that "Save and back" commits all changes to the "Certificate for Claiming" email.	</t>
  </si>
  <si>
    <t>1. Admin edits subject and body.
2. Clicks Save and back.</t>
  </si>
  <si>
    <t xml:space="preserve">Fields Displayed:
• Updated subject and body are reflected in the list
• Body formatting and placeholders are retained
</t>
  </si>
  <si>
    <t xml:space="preserve">Verify that "Cancel" discards unsaved changes in the "Certificate for Claiming" editor.	</t>
  </si>
  <si>
    <t>1. Admin makes changes.
2. Clicks Cancel.</t>
  </si>
  <si>
    <t>Behavior:
• Subject and body changes are discarded
• Admin is redirected to the template list without saving
• All previous content remains unchanged</t>
  </si>
  <si>
    <t>Verify that the placeholder &lt;$request_id&gt; renders correctly during actual email send in the "Cerificate of Claiming"</t>
  </si>
  <si>
    <t>1. Admin saves template with &lt;$request_id&gt; in body.
2. A test request triggers the email.</t>
  </si>
  <si>
    <t>Render Behavior:
• User receives email with actual request ID replacing &lt;$request_id&gt;
• Formatting and placeholders are respected in the email output</t>
  </si>
  <si>
    <t xml:space="preserve">Verify that the admin can open and edit the "Certificate Claimed" email template.	</t>
  </si>
  <si>
    <t>1. Admin logs in.
2. Clicks AO – Assessor’s Office.
3. Clicks Email Templates.
4. Clicks Edit beside “Certificate Claimed”.</t>
  </si>
  <si>
    <t xml:space="preserve">Verify that the subject of the "Certificate Claimed" email can be modified and saved.	</t>
  </si>
  <si>
    <t>1. Admin opens the template.
2. Edits the subject field.
3. Clicks Save and back.</t>
  </si>
  <si>
    <t xml:space="preserve">Verify that the body of the "Certificate Claimed" email template allows editing with rich text formatting.	</t>
  </si>
  <si>
    <t>1. Admin uses the WYSIWYG editor to format body content (e.g., bold text, lists).
2. Clicks Save and back.</t>
  </si>
  <si>
    <t>Fields Displayed:
• Subject field displays the current subject.
• Body field saves formatting:
– WYSIWYG editor applies bold, lists, underline, etc.</t>
  </si>
  <si>
    <t xml:space="preserve">Verify that all placeholders (&lt;$name&gt;, &lt;$request_id&gt;, &lt;$certificates_requested&gt;, &lt;$date_claimed&gt;) are retained after editing the body.	</t>
  </si>
  <si>
    <t>1. Admin confirms placeholders &lt;$name&gt;, &lt;$request_id&gt;, &lt;$certificates_requested&gt;, &lt;$date_claimed&gt; are present.
2. Clicks Save and back.</t>
  </si>
  <si>
    <t xml:space="preserve">Verify that saving the template is blocked when the subject field is left empty.	</t>
  </si>
  <si>
    <t xml:space="preserve">Verify that saving the template is blocked when the body field is left empty.	</t>
  </si>
  <si>
    <t xml:space="preserve">Verify that clicking "Save and back" commits the changes and returns to the email templates list.	</t>
  </si>
  <si>
    <t>1. Admin makes edits.
2. Clicks Save and back.</t>
  </si>
  <si>
    <t xml:space="preserve">Verify that clicking "Cancel" discards any unsaved changes in the email template.	</t>
  </si>
  <si>
    <t>1. Admin edits content.
2. Clicks Cancel instead of saving.</t>
  </si>
  <si>
    <t>Page Title:
Certificate Request Templates - Edit certificate request template
• Admin is redirected to the template list.
• No changes are saved.
• Original content remains unchanged.</t>
  </si>
  <si>
    <t>Verify that WYSIWYG editor formatting tools (bold, underline, list, etc.) function correctly.</t>
  </si>
  <si>
    <t>1. Admin uses editor to apply bold, underline, bullet list.
2. Saves changes.</t>
  </si>
  <si>
    <t xml:space="preserve">Verify that the placeholder &lt;$date_claimed&gt; is correctly replaced with the actual date when the email is sent.	</t>
  </si>
  <si>
    <t>1. Admin saves template with &lt;$date_claimed&gt; in body.
2. A completed certificate request triggers email.
3. User checks inbox.</t>
  </si>
  <si>
    <t>Email displays correct date value in place of &lt;$date_claimed&gt;.
• No placeholder remains visible.
• Email rendering confirms dynamic replacement.</t>
  </si>
  <si>
    <t xml:space="preserve">Verify that subject field input is limited to 255 characters to prevent overflow.	</t>
  </si>
  <si>
    <r>
      <rPr>
        <rFont val="Inter"/>
        <b/>
        <color theme="1"/>
        <sz val="12.0"/>
      </rPr>
      <t xml:space="preserve">USER STORY: 
</t>
    </r>
    <r>
      <rPr>
        <rFont val="Inter"/>
        <color theme="1"/>
        <sz val="12.0"/>
      </rPr>
      <t xml:space="preserve">
As a </t>
    </r>
    <r>
      <rPr>
        <rFont val="Inter"/>
        <b/>
        <color theme="1"/>
        <sz val="12.0"/>
      </rPr>
      <t>system administrator</t>
    </r>
    <r>
      <rPr>
        <rFont val="Inter"/>
        <color theme="1"/>
        <sz val="12.0"/>
      </rPr>
      <t>,
I want to view, filter, and manage</t>
    </r>
    <r>
      <rPr>
        <rFont val="Inter"/>
        <b/>
        <color theme="1"/>
        <sz val="12.0"/>
      </rPr>
      <t xml:space="preserve"> certificate requests</t>
    </r>
    <r>
      <rPr>
        <rFont val="Inter"/>
        <color theme="1"/>
        <sz val="12.0"/>
      </rPr>
      <t xml:space="preserve"> submitted by applicants,
So that I can monitor the status of each request, update records, and take appropriate actions such as editing or deleting submissions</t>
    </r>
    <r>
      <rPr>
        <rFont val="Inter"/>
        <b/>
        <color theme="1"/>
        <sz val="12.0"/>
      </rPr>
      <t>.</t>
    </r>
  </si>
  <si>
    <t xml:space="preserve">Verify that the admin can access the Certificate Requests list from the Admin dashboard.
</t>
  </si>
  <si>
    <t>1. The admin must go to http://68.183.231.65/admin.
2. The admin must log in using their credentials.
3. The admin must navigate to the AO – Assessor's Office section.
4. The admin must click on Certificate Request.</t>
  </si>
  <si>
    <t xml:space="preserve">1. Admin should click on the AO – Assessor's Office section.
2. Admin should click on the Certificate Request option.
</t>
  </si>
  <si>
    <t xml:space="preserve">Page Title:
Certificate Request
Fields Displayed:
• Search and filter fields should be visible above the table, including:
a) Applicant Name
b) Applicant Email
c) Status
d) Transaction Date
• The table should display the following columns in order:
a) Ticket ID
b) Applicant Name
c) Email
d) Status
e) Certificate Requested
f) Transaction Date
g) Actions
- If multiple certificate types are requested, they should appear on separate lines within the “Certificate Requested” column.
Buttons and Controls:
• Export buttons should be displayed at the bottom or top of the table:
a) Copy – should copy the current table view to the clipboard.
b) Excel – should download the table data in .xlsx format.
c) CSV – should export the data in .csv format.
d) PDF – should generate a PDF version of the table with correct formatting.
e) Print – should open a printer-friendly preview of the table.
• Column visibility control should be available:
a) The admin should be able to click individual columns (e.g., Ticket ID, Email) to show or hide them.
b) Hiding a column should remove it from the visible table view without affecting data integrity.
</t>
  </si>
  <si>
    <t xml:space="preserve">Verify that the table displays columns: Ticket ID, Applicant Name, Email, Status, Certificate Requested, Transaction Date, Actions.
</t>
  </si>
  <si>
    <t>1. Admin should click on the AO – Assessor's Office section.
2. Admin should click on the Certificate Request option.</t>
  </si>
  <si>
    <t>Page Title:
Certificate Request
Fields Displayed:
• The table should display the following columns in order:
a) Ticket ID
b) Applicant Name
c) Email
d) Status
e) Certificate Requested
f) Transaction Date
g) Actions
– If multiple certificate types are requested, they should appear on separate lines within the “Certificate Requested” column.</t>
  </si>
  <si>
    <t xml:space="preserve">Verify that the admin can search/filter certificate requests by ID
</t>
  </si>
  <si>
    <t>1. Admin should click on the AO – Assessor's Office section.
2. Admin should click on the Certificate Request option.
3. Admin should enter a valid Ticket ID in the search field.</t>
  </si>
  <si>
    <t>The table should display only the certificate request(s) that match the entered Ticket ID. If no match is found, the table should show a "No entries found" message.</t>
  </si>
  <si>
    <t xml:space="preserve">Verify that the admin can search/filter certificate requests by Applicant Name.
</t>
  </si>
  <si>
    <t>1. Admin should click on the AO – Assessor's Office section.
2. Admin should click on the Certificate Request option.
3. Admin should type a full or partial Applicant Name into the search field.</t>
  </si>
  <si>
    <t xml:space="preserve">The table should update to display only certificate requests that match the entered applicant name. If no matching results are found, a message indicating "No entries found" should be shown.
</t>
  </si>
  <si>
    <t xml:space="preserve">Verify that the admin can search/filter certificate requests by Status.
</t>
  </si>
  <si>
    <t>1. Admin should click on the AO – Assessor's Office section.
2. Admin should click on the Certificate Request option.
3. Admin should select a status from the Status dropdown filter.</t>
  </si>
  <si>
    <t xml:space="preserve">The table should display only the certificate requests that match the selected status. All unrelated entries should be filtered out.
</t>
  </si>
  <si>
    <t xml:space="preserve">Verify that the admin can click the Edit button and is redirected to the Edit Certificate Request form.
</t>
  </si>
  <si>
    <t>1. Admin should click on the AO – Assessor's Office section.
2. Admin should click on the Certificate Request option.
3. Admin should click the Edit button under the Actions column of any row in the table.</t>
  </si>
  <si>
    <t>Page Title:
Certificate Request - Edit Certificate Request
Fields Displayed:
• Ticket ID field should be visible and display the correct ID.
• Applicant Name field should be visible and display the correct applicant name.
• Mobile Number field should be visible and display the correct mobile number.
• Email Address field should be visible and display the correct applicant email.
• Transaction Date field should be visible and show the correct date and time.
• Status field should be visible and reflect the current request status or assessor's note.
• The following document sections should be displayed, each with:
a) File Preview and Download option (if a file is uploaded)
b) Status control (Approve or Reject)
c) Display of "No file uploaded" if no document is attached
• ID OF PROPERTY OWNER WITH 3 SIGNATURE
• CONTRACT OF LEASE
• DEED OF ABSOLUTE SALE
• CONTRACT TO SELL
• PROOF OF OWNERSHIP
• CERTIFIED TRUE COPY OF TITLE
• XEROX COPY OF C.A.R. (BIR)
• XEROX COPY OF DEED OF SALE / DONATION / EXTRA JUDICIAL SETTLEMENT
• XEROX COPY OF REAL PROPERTY TAX RECEIPT OR TAX CLEARANCE
• RECEIPT FROM RD FOR NEW TITLE
• XEROX OF TRANSFER TAX RECEIPT OR CERTIFICATION OF TRANSFER TAX
• COPY OF SUBDIVISION PLAN
• CERTIFIED CANCELED TITLE
• CERTIFICATION OF SALE
• AFFIDAVIT OF CONSOLIDATION OF OWNERSHIP
• The following Yes/No toggle questions should be displayed and reflect the user’s previous answers:
• FOR COMPANY/BANK DEVELOPER?
• IS THIS A LOAN MORTGAGE?
• IS IT FOR AUTHORIZED REPRESENTATIVE?
• TRANSFER OF TAX DECLARATION?
• IS THE LOT SUBDIVIDED?
• HAS THE TITLE BEEN CANCELLED?
• IS THE LOT FORECLOSED?
Buttons at the bottom:
a) Save and back – should save the changes made and redirect the admin to the Certificate Requests list.
b) Cancel – should discard all changes and return to the Certificate Requests list without saving.</t>
  </si>
  <si>
    <t xml:space="preserve">Verify that the admin can click the Delete button and a confirmation prompt appears.
</t>
  </si>
  <si>
    <t>1. Admin should navigate to the AO – Assessor's Office section.
2. Admin should click on the Certificate Request option.
3. Admin should click the Delete button under the Actions column of any row.</t>
  </si>
  <si>
    <t>A confirmation prompt should appear "Are you sure you want to delete this item?" request. The prompt should contain Ok and Cancel buttons.</t>
  </si>
  <si>
    <t xml:space="preserve">Verify that clicking Confirm on the Delete prompt removes the certificate request.
</t>
  </si>
  <si>
    <t>The certificate request should be removed from the table and a success message should appear confirming the deletion.
Prompt message: 
"Item Deleted
The item has been deleted successfully."</t>
  </si>
  <si>
    <t xml:space="preserve">Verify that clicking Cancel on the Delete prompt closes the prompt without deleting the request.
</t>
  </si>
  <si>
    <t>1. Admin should perform steps in TC-07.
2. Admin should click the Cancel button on the prompt.</t>
  </si>
  <si>
    <t>The prompt should close, and the selected request should remain in the list without any changes.</t>
  </si>
  <si>
    <t xml:space="preserve">Verify that the admin can export the list via Copy and that the copied data is accurate.
</t>
  </si>
  <si>
    <t>1. Admin should go to the Certificate Request list.
2. Admin should click the Copy export button below the table.</t>
  </si>
  <si>
    <t>The current table view should be copied to the clipboard, including visible column headers and row data.</t>
  </si>
  <si>
    <t xml:space="preserve">Verify that the admin can export the list as Excel and the downloaded file contains the correct data.
</t>
  </si>
  <si>
    <t>1. Admin should go to the Certificate Request list.
2. Admin should click the Excel export button.</t>
  </si>
  <si>
    <t>The .xlsx file should be downloaded, containing accurate table content and formatted column headers.</t>
  </si>
  <si>
    <t xml:space="preserve">Verify that the admin can export the list as CSV and the format and content are correct.
</t>
  </si>
  <si>
    <t>1. Admin should go to the Certificate Request list.
2. Admin should click the CSV export button.</t>
  </si>
  <si>
    <t>A .csv file should be downloaded with comma-separated values, reflecting all visible data and correct headers.</t>
  </si>
  <si>
    <t xml:space="preserve">Verify that the admin can export the list as PDF and the layout is preserved.
</t>
  </si>
  <si>
    <t>1. Admin should go to the Certificate Request list.
2. Admin should click the PDF export button.</t>
  </si>
  <si>
    <t>A .pdf file should be downloaded displaying the table in printable format, maintaining layout and content alignment.</t>
  </si>
  <si>
    <t xml:space="preserve">Verify that the admin can export the list via Print and the print preview is correctly formatted.
</t>
  </si>
  <si>
    <t>1. Admin should go to the Certificate Request list.
2. Admin should click the Print export button.</t>
  </si>
  <si>
    <t>The browser print preview should display the table with proper formatting, column headers, and content for printing.</t>
  </si>
  <si>
    <t xml:space="preserve">Verify that the Column Visibility control allows toggling individual columns on or off.
</t>
  </si>
  <si>
    <t>1. Admin should go to the Certificate Request list.
2. Admin should click on the Column visibility control.
3. Admin should toggle one or more columns (e.g., Email, Status).</t>
  </si>
  <si>
    <t>The selected column(s) should be shown or hidden from the table accordingly. Data integrity should remain unaffected.</t>
  </si>
  <si>
    <t xml:space="preserve">Verify that hiding a column via Column Visibility removes it from the table.
</t>
  </si>
  <si>
    <t>1. Admin should follow steps from TC-15.
2. Admin should deselect a visible column.</t>
  </si>
  <si>
    <t xml:space="preserve">The deselected column should disappear from the table view and when exported. </t>
  </si>
  <si>
    <t xml:space="preserve">Verify that the table auto-updates when a user submits a new certificate request.
</t>
  </si>
  <si>
    <t>1. A user submits a new certificate request from the frontend.
2. Admin views the Certificate Request list.</t>
  </si>
  <si>
    <t>The new request should appear at the top of the table or be visible based on the latest transaction date without needing a page refresh.</t>
  </si>
  <si>
    <t xml:space="preserve">Verify that long Certificate Requested names are truncated with an ellipsis and show full on hover.
</t>
  </si>
  <si>
    <t>1. Admin should locate a record with a long certificate name.
2. Admin should hover over the truncated text.</t>
  </si>
  <si>
    <t xml:space="preserve">Verify that clicking the Edit button on a request with “Draft” status opens editable file fields.
</t>
  </si>
  <si>
    <t>1. Admin should locate a request with status “Draft”.
2. Admin should click the Edit button.</t>
  </si>
  <si>
    <t>The Edit page should open with all file fields editable and ready for document review and validation.</t>
  </si>
  <si>
    <t xml:space="preserve">Verify that clicking the Edit button on a request with “Certificate Claimed” status displays a non-editable summary.
</t>
  </si>
  <si>
    <t>1. Admin should locate a request with status “Certificate Claimed”.
2. Admin should click the Edit button.</t>
  </si>
  <si>
    <t>The Edit page should load in a read-only mode. No fields or files should be editable. Only a summary of all data should be shown.</t>
  </si>
  <si>
    <t xml:space="preserve">Verify that sorting by Transaction Date works in ascending and descending order.
</t>
  </si>
  <si>
    <t>1. Admin should click on the Certificate Request option.
2. Admin should click the Transaction Date column header once to sort the data in ascending order.
3. Admin should click the Transaction Date column header again to sort the data in descending order.
4. Admin should click the date filter dropdown to reveal filtering options:
• Today
• Yesterday
• Last 7 Days
• Last 30 Days
• This Month
• Last Month
• Custom Range
For Custom Range, the admin should select a start date and an end date.
• Admin should click the Apply button.
• Admin may click the Cancel button to close the filter without applying.</t>
  </si>
  <si>
    <t>Table results should refresh automatically based on the selected date filter or custom range.</t>
  </si>
  <si>
    <t xml:space="preserve">Verify that editing a request does not change its Ticket ID.
</t>
  </si>
  <si>
    <t>1. Admin should navigate to the Certificate Request list.
2. Admin should click the Edit button for any request.
3. Admin should update any field (e.g., status, notes, file status).
4. Admin should click the Save and Back button.</t>
  </si>
  <si>
    <t>Behavior: 
• The request should remain in the list with the same Ticket ID.
• Ticket ID should not be regenerated or modified after editing.</t>
  </si>
  <si>
    <t xml:space="preserve">Verify that changes made via the Edit page reflect immediately in the Certificate Request List.
</t>
  </si>
  <si>
    <t>1. Admin should edit any request.
2. Admin should change a field value (e.g., Status or Assessor's Notes).
3. Admin should click Save and Back.</t>
  </si>
  <si>
    <t>Behavior: 
• Changes made during the edit should immediately reflect in the main Certificate Request list.
• No page reload should be required to see the updates.</t>
  </si>
  <si>
    <t>Verify that the admin can view the applicant’s information details, including: Ticket ID, Applicant Name, Mobile Number, Email Address, and Transaction Date in the Certificate Request on the Edit Certificate Request</t>
  </si>
  <si>
    <t xml:space="preserve">1. Admin should click Edit on any Certificate Request.
2. Observe the Edit Certificate Request details. </t>
  </si>
  <si>
    <t>• The following fields should be visible:
a) Ticket ID
b) Applicant Name
c) Mobile Number
d) Email Address
e) Transaction Date</t>
  </si>
  <si>
    <t xml:space="preserve">Verify that the admin can update the status of the Certificate Request using the Status dropdown field.
</t>
  </si>
  <si>
    <t>1. Admin should click Edit on a request.
2. Admin should change the value of the Status dropdown field.</t>
  </si>
  <si>
    <t>The Status dropdown field should be visible and editable on the Edit Certificate Request page.
The admin should be able to select any of the following statuses from the dropdown:
• Draft
• Pending review
• Under review
• Requires changes
• Awaiting payment
• Payment verification
• Payment verified
• Certificate for claiming
• Certificate claimed
Upon selecting a status and clicking Save and back, the selected status should be saved successfully and displayed in the Certificate Request List.</t>
  </si>
  <si>
    <t xml:space="preserve">Verify that the admin can enter text in the Assessor's Notes field and save it with the certificate request.
</t>
  </si>
  <si>
    <t>1. Admin should access the Edit page for a request.
2. Admin should type into the Assessor’s Notes field.
3. Admin should click Save and Back.</t>
  </si>
  <si>
    <t>Behavior: 
• The text entered in the Assessor's Notes field should be saved successfully.
• Notes should be visible upon re-opening the Edit page.</t>
  </si>
  <si>
    <t xml:space="preserve">Verify that the admin can view the label "ID OF PROPERTY OWNER WITH 3 SIGNATURES" along with the uploaded document file name.
</t>
  </si>
  <si>
    <t>1. Admin should navigate to the Admin Dashboard and click on the Certificate Request option.
2. Admin should click the Edit button for any request with a file uploaded for "ID OF PROPERTY OWNER WITH 3 SIGNATURES".
3. Admin should scroll to the section for "ID OF PROPERTY OWNER WITH 3 SIGNATURES".</t>
  </si>
  <si>
    <t xml:space="preserve">
Fields Displayed:
• The section ID OF PROPERTY OWNER WITH 3 SIGNATURES should be displayed with:
a) The correct file name shown (if uploaded).
b) File Preview and Download buttons visible.
c) Status control (Approve/Reject) visible.
d) If no file is uploaded, the message "No file uploaded" should appear.</t>
  </si>
  <si>
    <t xml:space="preserve">Verify that clicking the Preview button for "ID OF PROPERTY OWNER WITH 3 SIGNATURES" opens a modal or new tab to preview the uploaded file.
</t>
  </si>
  <si>
    <t>1. Admin should access the Edit page of a certificate request.
2. Admin should locate the "ID OF PROPERTY OWNER WITH 3 SIGNATURES" section.
3. Admin should click the Preview button.</t>
  </si>
  <si>
    <t xml:space="preserve">
Fields Displayed:
• Clicking Preview in the ID OF PROPERTY OWNER WITH 3 SIGNATURES section should open a modal or new tab displaying the uploaded file content.
• File content should be readable.</t>
  </si>
  <si>
    <t xml:space="preserve">Verify that clicking the Download button for "ID OF PROPERTY OWNER WITH 3 SIGNATURES" successfully downloads the uploaded file.
</t>
  </si>
  <si>
    <t>1. Admin should go to the Edit Certificate Request page.
2. Locate the section for "ID OF PROPERTY OWNER WITH 3 SIGNATURES".
3. Click the Download button.</t>
  </si>
  <si>
    <t xml:space="preserve">
Fields Displayed:
• Clicking Download in the ID OF PROPERTY OWNER WITH 3 SIGNATURES section should initiate a download of the uploaded file.
• File name and content must match the original uploaded file.</t>
  </si>
  <si>
    <t xml:space="preserve">Verify that the admin can set the status of the file for "ID OF PROPERTY OWNER WITH 3 SIGNATURES" to "Approved".
</t>
  </si>
  <si>
    <t>1. Admin should access the Edit page of a request.
2. Navigate to the "ID OF PROPERTY OWNER WITH 3 SIGNATURES" section.
3. In the status dropdown, select Approved.
4. Click Save and back.</t>
  </si>
  <si>
    <t xml:space="preserve">
Fields Displayed:
• The file status dropdown for ID OF PROPERTY OWNER WITH 3 SIGNATURES should allow selection of Approved.
• The selected status should be saved and displayed correctly after clicking Save and back.</t>
  </si>
  <si>
    <t xml:space="preserve">Verify that the admin can set the status of the file for "ID OF PROPERTY OWNER WITH 3 SIGNATURES" to "Rejected".
</t>
  </si>
  <si>
    <t>1. Admin should access the Edit Certificate Request page.
2. Locate the section for "ID OF PROPERTY OWNER WITH 3 SIGNATURES".
3. Set the file status to Rejected.
4. Click Save and back.</t>
  </si>
  <si>
    <t>Fields Displayed:
• The file status dropdown for ID OF PROPERTY OWNER WITH 3 SIGNATURES should allow selection of Rejected.
• The selected status should be saved and retained after clicking Save and back.</t>
  </si>
  <si>
    <t xml:space="preserve">Verify that the admin can view the label "CONTRACT OF LEASE" along with the uploaded document file name.
</t>
  </si>
  <si>
    <t>1. Navigate to the Edit Certificate Request page.
2. Locate the section labeled CONTRACT OF LEASE.</t>
  </si>
  <si>
    <t xml:space="preserve">
Fields Displayed:
• The section CONTRACT OF LEASE should show:
a) Label title visible.
b) File name if uploaded.
c) “No file uploaded” message if empty.
d) Status control and file actions if file exists.</t>
  </si>
  <si>
    <t xml:space="preserve">Verify that clicking the Preview button for "CONTRACT OF LEASE" opens a preview of the uploaded file.
</t>
  </si>
  <si>
    <t>1. On the Edit page, locate the CONTRACT OF LEASE section.
2. Click the Preview button beside the file name.</t>
  </si>
  <si>
    <t xml:space="preserve">
Fields Displayed:
• Clicking Preview in the CONTRACT OF LEASE section should open a file preview.
• Document must load clearly in modal or new tab.</t>
  </si>
  <si>
    <t xml:space="preserve">Verify that clicking the Download button for "CONTRACT OF LEASE" successfully downloads the file.
</t>
  </si>
  <si>
    <t>1. Locate the CONTRACT OF LEASE section on the Edit Certificate Request page.
2. Click the Download button beside the file name.</t>
  </si>
  <si>
    <t xml:space="preserve">
Fields Displayed:
• Clicking Download in the CONTRACT OF LEASE section should initiate a file download.
• File name and content must match uploaded file.</t>
  </si>
  <si>
    <t xml:space="preserve">Verify that the admin can mark the "CONTRACT OF LEASE" document as "Approved" in the Status dropdown.
</t>
  </si>
  <si>
    <t>1. Access the Edit page of a certificate request.
2. Find the CONTRACT OF LEASE section.
3. Set the file status to Approved.
4. Click Save and back.</t>
  </si>
  <si>
    <t xml:space="preserve">
Fields Displayed:
• The status dropdown for CONTRACT OF LEASE must allow selection of Approved.
• The selected status should save and reflect after submitting.</t>
  </si>
  <si>
    <t xml:space="preserve">Verify that the admin can mark the "CONTRACT OF LEASE" document as "Rejected" in the Status dropdown.
</t>
  </si>
  <si>
    <t>1. Access the Edit page of a certificate request.
2. Find the CONTRACT OF LEASE section.
3. Set the file status to Rejected.
4. Click Save and back.</t>
  </si>
  <si>
    <t xml:space="preserve">
Fields Displayed:
• The status dropdown for CONTRACT OF LEASE must allow selection of Rejected.
• Status change should be saved and remain persistent after save.</t>
  </si>
  <si>
    <t xml:space="preserve">Verify that the admin can view the label "DEED OF ABSOLUTE SALE" and the file name of the uploaded document.
</t>
  </si>
  <si>
    <t>1. Go to the Edit Certificate Request page.
2. Locate the DEED OF ABSOLUTE SALE section.</t>
  </si>
  <si>
    <t xml:space="preserve">
Fields Displayed:
• The label DEED OF ABSOLUTE SALE should be displayed.
• File name must be shown if uploaded, otherwise “No file uploaded” message.</t>
  </si>
  <si>
    <t xml:space="preserve">Verify that the Preview button for the "DEED OF ABSOLUTE SALE" file works correctly and displays the document.
</t>
  </si>
  <si>
    <t>1. Locate the DEED OF ABSOLUTE SALE section on the Edit page.
2. Click the Preview button beside the file name.</t>
  </si>
  <si>
    <t xml:space="preserve">
Fields Displayed:
• Clicking Preview for DEED OF ABSOLUTE SALE must open the document in a new tab or modal.
• File content should be readable and match uploaded version.</t>
  </si>
  <si>
    <t xml:space="preserve">Verify that clicking the Download button for "DEED OF ABSOLUTE SALE" downloads the uploaded file.
</t>
  </si>
  <si>
    <t>1. Go to the Edit Certificate Request page.
2. Locate the DEED OF ABSOLUTE SALE document section.
3. Click the Download button.</t>
  </si>
  <si>
    <t xml:space="preserve">
Fields Displayed:
• Clicking Download on the DEED OF ABSOLUTE SALE file should trigger a download.
• File name and content must be correct and uncorrupted.</t>
  </si>
  <si>
    <t xml:space="preserve">Verify that the admin can set the status of the "DEED OF ABSOLUTE SALE" file to "Approved".
</t>
  </si>
  <si>
    <t>1. Access the Edit page of a certificate request.
2. Find the DEED OF ABSOLUTE SALE section.
3. Set the file status to Approved.
4. Click Save and back.</t>
  </si>
  <si>
    <t xml:space="preserve">
Fields Displayed:
• The status dropdown for  DEED OF ABSOLUTE SALE must allow selection of Approved.
• The selected status should save and reflect after submitting.</t>
  </si>
  <si>
    <t xml:space="preserve">Verify that the admin can set the status of the "DEED OF ABSOLUTE SALE" file to "Rejected".
</t>
  </si>
  <si>
    <t>1. Access the Edit page of a certificate request.
2. Find the DEED OF ABSOLUTE SALE section.
3. Set the file status to Rejected.
4. Click Save and back.</t>
  </si>
  <si>
    <t xml:space="preserve">
Fields Displayed:
• The status dropdown for  DEED OF ABSOLUTE SALE must allow selection of Rejected.
• Status change should be saved and remain persistent after save.</t>
  </si>
  <si>
    <t xml:space="preserve">Verify that the admin can view the label "CONTRACT TO SELL" and its associated uploaded file.
</t>
  </si>
  <si>
    <t>1. Access the Edit page of a certificate request.
2. Locate the CONTRACT TO SELL section.</t>
  </si>
  <si>
    <t xml:space="preserve">
Fields Displayed:
• The label CONTRACT TO SELL should be displayed.
• File name must be shown if uploaded, otherwise “No file uploaded” message.</t>
  </si>
  <si>
    <t xml:space="preserve">Verify that the Preview button for "CONTRACT TO SELL" shows the uploaded document correctly.
</t>
  </si>
  <si>
    <t>1. Access the Edit page of a certificate request.
2. Locate the CONTRACT TO SELL section.
3. Click the Preview button.</t>
  </si>
  <si>
    <t xml:space="preserve">
Fields Displayed:
• Clicking Preview for CONTRACT TO SELL must open the document in a new tab or modal.
• File content should be readable and match uploaded version.</t>
  </si>
  <si>
    <t xml:space="preserve">Verify that the Download button for "CONTRACT TO SELL" works and allows the admin to download the document.
</t>
  </si>
  <si>
    <t>1. Access the Edit page of a certificate request.
2. Locate the CONTRACT TO SELL section.
3. Click the Download button.</t>
  </si>
  <si>
    <t xml:space="preserve">
Fields Displayed:
• Clicking Download on the CONTRACT TO SELL file should trigger a download.
• File name and content must be correct and uncorrupted.</t>
  </si>
  <si>
    <t xml:space="preserve">Verify that the admin can update the status of "CONTRACT TO SELL" to "Approved".
</t>
  </si>
  <si>
    <t>1. Access the Edit page of a certificate request.
2. Find the CONTRACT TO SELL section.
3. Set the file status to Approved.
4. Click Save and back.</t>
  </si>
  <si>
    <t xml:space="preserve">
Fields Displayed:
• The status dropdown for CONTRACT TO SELL must allow selection of Approved.
• The selected status should save and reflect after submitting.</t>
  </si>
  <si>
    <t xml:space="preserve">Verify that the admin can update the status of "CONTRACT TO SELL" to "Rejected".
</t>
  </si>
  <si>
    <t>1. Access the Edit page of a certificate request.
2. Find the CONTRACT TO SELL section.
3. Set the file status to Rejected.
4. Click Save and back.</t>
  </si>
  <si>
    <t xml:space="preserve">
Fields Displayed:
• The status dropdown for CONTRACT TO SELL must allow selection of Rejected.
• Status change should be saved and remain persistent after save.</t>
  </si>
  <si>
    <t xml:space="preserve">Verify that the admin can view the label "PROOF OF OWNERSHIP" and the file name of the uploaded document.
</t>
  </si>
  <si>
    <t>1. Access the Edit page of a certificate request.
2. Locate the PROOF OF OWNERSHIP section.</t>
  </si>
  <si>
    <t xml:space="preserve">
Fields Displayed:
• The label PROOF OF OWNERSHIP should be displayed.
• File name must be shown if uploaded, otherwise “No file uploaded” message.</t>
  </si>
  <si>
    <t xml:space="preserve">Verify that the Preview button for "PROOF OF OWNERSHIP" displays the document correctly.
</t>
  </si>
  <si>
    <t>1. Access the Edit page of a certificate request.
2. Locate the PROOF OF OWNERSHIP section.
3. Click the Preview button.</t>
  </si>
  <si>
    <t xml:space="preserve">
Fields Displayed:
• Clicking Preview for PROOF OF OWNERSHIP must open the document in a new tab or modal.
• File content should be readable and match uploaded version.</t>
  </si>
  <si>
    <t xml:space="preserve">Verify that the Download button for "PROOF OF OWNERSHIP" downloads the correct file.
</t>
  </si>
  <si>
    <t>1. Access the Edit page of a certificate request.
2. Locate the PROOF OF OWNERSHIP section.
3. Click the Download button.</t>
  </si>
  <si>
    <t xml:space="preserve">
Fields Displayed:
• Clicking Download on the PROOF OF OWNERSHIP file should trigger a download.
• File name and content must be correct and uncorrupted.</t>
  </si>
  <si>
    <t xml:space="preserve">Verify that the admin can mark "PROOF OF OWNERSHIP" as "Approved" in the Status dropdown.
</t>
  </si>
  <si>
    <t>1. Access the Edit page of a certificate request.
2. Find the PROOF OF OWNERSHIP section.
3. Set the file status to Approved.
4. Click Save and back.</t>
  </si>
  <si>
    <t xml:space="preserve">
Fields Displayed:
• The status dropdown for PROOF OF OWNERSHIP must allow selection of Approved.
• The selected status should save and reflect after submitting.</t>
  </si>
  <si>
    <t xml:space="preserve">Verify that the admin can mark "PROOF OF OWNERSHIP" as "Rejected" in the Status dropdown.
</t>
  </si>
  <si>
    <t>1. Access the Edit page of a certificate request.
2. Find the PROOF OF OWNERSHIP section.
3. Set the file status to Rejected.
4. Click Save and back.</t>
  </si>
  <si>
    <t xml:space="preserve">
Fields Displayed:
• The status dropdown for PROOF OF OWNERSHIP must allow selection of Rejected.
• Status change should be saved and remain persistent after save.</t>
  </si>
  <si>
    <t>Verify that if the applicant selects "Yes", the field for "SECRETARY'S CERTIFICATE AND 1 EMLOYEE ID" is visible to the admin.</t>
  </si>
  <si>
    <t>1. Access the Edit page of a certificate request.
2. Check the applicant’s answer for "FOR COMPANY/BANK DEVELOPER?" is set to Yes.
3. Observe if the field "SECRETARY'S CERTIFICATE AND 1 EMPLOYEE ID" is visible to the admin.</t>
  </si>
  <si>
    <t xml:space="preserve">
Fields Displayed:
• The section labeled SECRETARY'S CERTIFICATE AND 1 EMPLOYEE ID must be visible on the admin side.
• The field should include file name, preview, download, and status dropdown (if a file is uploaded).</t>
  </si>
  <si>
    <t xml:space="preserve">Verify that the file name of the uploaded "SECRETARY'S CERTIFICATE AND 1 EMPLOYEE ID" is displayed to the admin.
</t>
  </si>
  <si>
    <t>1. Access the Edit page of a certificate request.
2. Locate the section labeled "SECRETARY'S CERTIFICATE AND 1 EMPLOYEE ID".</t>
  </si>
  <si>
    <t xml:space="preserve">
Fields Displayed:
• The "SECRETARY'S CERTIFICATE AND 1 EMPLOYEE ID" section should be visible.
• The document label and file field must appear under the document section.</t>
  </si>
  <si>
    <t xml:space="preserve">Verify that clicking the Preview button for "SECRETARY'S CERTIFICATE AND 1 EMPLOYEE ID" allows the admin to view the file.
</t>
  </si>
  <si>
    <t>1. Access the Edit page of a certificate request.
2. Click the Preview button beside the "SECRETARY'S CERTIFICATE AND 1 EMPLOYEE ID" file.</t>
  </si>
  <si>
    <t xml:space="preserve">
Fields Displayed:
• A new tab or modal must open displaying the document.
• File content should be readable and match the uploaded version.</t>
  </si>
  <si>
    <t xml:space="preserve"> Verify that clicking the Download button for "SECRETARY'S CERTIFICATE AND 1 EMPLOYEE ID" downloads the correct file.</t>
  </si>
  <si>
    <t>1. Access the Edit page of a certificate request.
2. Click the Download button beside the file.</t>
  </si>
  <si>
    <t xml:space="preserve">
Fields Displayed:
• Clicking Download should initiate file download.
• File name and content must be correct and uncorrupted.</t>
  </si>
  <si>
    <t>Verify that the admin can set the status of "SECRETARY'S CERTIFICATE AND 1 EMPLOYEE ID" to Approved.</t>
  </si>
  <si>
    <t>1. Access the Edit page of a certificate request.
2. Locate the "SECRETARY'S CERTIFICATE AND 1 EMPLOYEE ID" document.
3. Set the status dropdown to “Approved”.
4. Click Save and back.</t>
  </si>
  <si>
    <t xml:space="preserve">
Fields Displayed:
• The status dropdown should allow selection of Approved.
• Status should be saved and reflected correctly after saving.</t>
  </si>
  <si>
    <t xml:space="preserve"> Verify that the admin can set the status of "SECRETARY'S CERTIFICATE AND 1 EMPLOYEE ID" to Rejected.</t>
  </si>
  <si>
    <t>1. Access the Edit page of a certificate request.
2. Locate the "SECRETARY'S CERTIFICATE AND 1 EMPLOYEE ID" section.
3. Set the file status to Rejected.
4. Click Save and back.</t>
  </si>
  <si>
    <t xml:space="preserve">
Fields Displayed:
• The status dropdown must allow selection of Rejected.
• Status should remain as Rejected after saving.</t>
  </si>
  <si>
    <t>Verify that if the applicant selects "No", the field for "SECRETARY'S CERTIFICATE AND 1 EMPLOYEE ID" is hidden from the admin view</t>
  </si>
  <si>
    <t>1. Access the Edit page of a certificate request.
2. Ensure the toggle FOR COMPANY/BANK DEVELOPER? is set to “No”.</t>
  </si>
  <si>
    <t xml:space="preserve">
Fields Displayed:
• The "SECRETARY'S CERTIFICATE AND 1 EMPLOYEE ID" field should not appear.</t>
  </si>
  <si>
    <t xml:space="preserve"> Verify that if the applicant selects "Yes", the field for "PHOTOCOPY OF LOAN AGREEMENT" is visible to the admin.</t>
  </si>
  <si>
    <t>1. Access the Edit page of a certificate request.
2. Ensure the toggle “IS THIS A LOAN MORTGAGE?” is set to “Yes”.</t>
  </si>
  <si>
    <t xml:space="preserve">
Fields Displayed:
• The "PHOTOCOPY OF LOAN AGREEMENT" section must be displayed with label and upload controls.</t>
  </si>
  <si>
    <t>Verify that the file name of the uploaded "PHOTOCOPY OF LOAN AGREEMENT"  is displayed to the admin.</t>
  </si>
  <si>
    <t>1. Access the Edit page of a certificate request.
2. Locate the PHOTOCOPY OF LOAN AGREEMENT section.
3. Verify that a file has been uploaded.
4. Check if the file name is displayed.</t>
  </si>
  <si>
    <t xml:space="preserve">
Fields Displayed:
• The file name must be visible next to the PHOTOCOPY OF LOAN AGREEMENT label.
• If no file is uploaded, the text “No file uploaded” should be shown.</t>
  </si>
  <si>
    <t xml:space="preserve"> Verify that clicking the Preview button for "PHOTOCOPY OF LOAN AGREEMENT" allows the admin to view the file.</t>
  </si>
  <si>
    <t>1. Access the Edit page of a certificate request.
2. Find the PHOTOCOPY OF LOAN AGREEMENT section.
3. Click the Preview button.</t>
  </si>
  <si>
    <t xml:space="preserve">
Fields Displayed:
• Clicking the Preview button should open the file in a modal or new tab.
• The preview should display the correct uploaded document clearly.</t>
  </si>
  <si>
    <t>Verify that clicking the Download button for "PHOTOCOPY OF LOAN AGREEMENT" downloads the correct file.</t>
  </si>
  <si>
    <t>1. Access the Edit page of a certificate request.
2. Navigate to the PHOTOCOPY OF LOAN AGREEMENT section.
3. Click the Download button.</t>
  </si>
  <si>
    <t xml:space="preserve">
Fields Displayed:
• Clicking the Download button should trigger the download of the uploaded file.
• The file must be correct and uncorrupted.
</t>
  </si>
  <si>
    <t>Verify that the admin can set the status of"PHOTOCOPY OF LOAN AGREEMENT" to Approved.</t>
  </si>
  <si>
    <t>1. Access the Edit page of a certificate request.
2. Go to the PHOTOCOPY OF LOAN AGREEMENT section.
3. Set the status to Approved.
4. Click Save and back.</t>
  </si>
  <si>
    <t xml:space="preserve">
Fields Displayed:
• The status dropdown must allow selection of Approved.
• The selected status should be saved and reflected after submission.
</t>
  </si>
  <si>
    <t>Verify that the admin can set the status of "PHOTOCOPY OF LOAN AGREEMENT" to Rejected.</t>
  </si>
  <si>
    <t>1. Access the Edit page of a certificate request.
2. Go to the PHOTOCOPY OF LOAN AGREEMENT section.
3. Set the status to Rejected.
4. Click Save and back.</t>
  </si>
  <si>
    <t xml:space="preserve">
Fields Displayed:
• The status dropdown must allow selection of Rejected.
• Status change should persist after saving.</t>
  </si>
  <si>
    <t>Verify that if the applicant selects "No", the field for "PHOTOCOPY OF LOAN AGREEMENT" is hidden from the admin view.</t>
  </si>
  <si>
    <t>1. Access the Edit page of a certificate request.
2. Confirm that IS THIS A LOAN MORTGAGE? is answered No by the applicant.
3. Observe the document section visibility.</t>
  </si>
  <si>
    <t xml:space="preserve">
Fields Displayed:
• The PHOTOCOPY OF LOAN AGREEMENT section should not be displayed to the admin.</t>
  </si>
  <si>
    <t>1. Complete the certificate request form with all required fields and valid inputs.
2. Upload all required documents.
3. Click Submit.</t>
  </si>
  <si>
    <t xml:space="preserve">
Fields Displayed:
• Submission should complete without validation errors.
• Confirmation message should appear.
• Request should be visible in the Certificate Request list.</t>
  </si>
  <si>
    <t>Verify that selecting “Yes” on the claiming method shows the AUTHORIZED REPRESENTATIVE REQUIREMENTS section to the admin.</t>
  </si>
  <si>
    <t>1. Access the Edit page of a certificate request.
2. Confirm that the applicant selected Yes for Is it for Authorized Representative?
3. Observe the visibility of the AUTHORIZED REPRESENTATIVE REQUIREMENTS section.</t>
  </si>
  <si>
    <t>Fields Displayed:
• The section must be visible and include the following fields:
a) ID OF REPRESENTATIVE WITH 3 SIGNATURES
b) AUTHORIZATION LETTER
c) SPECIAL POWER OF ATTORNEY</t>
  </si>
  <si>
    <t>Verify that the admin can view the document name for ID OF REPRESENTATIVE WITH 3 SIGNATURES.</t>
  </si>
  <si>
    <t>1. Access the Edit page of a certificate request.
2. Scroll to the ID OF REPRESENTATIVE WITH 3 SIGNATURES section.
3. Check if a file name is displayed.</t>
  </si>
  <si>
    <t xml:space="preserve">
Fields Displayed:
• The uploaded file name must be clearly shown.
• If not uploaded, the message should say “No file uploaded.”</t>
  </si>
  <si>
    <t>Verify that clicking the Preview button opens the ID OF REPRESENTATIVE WITH 3 SIGNATURES file.</t>
  </si>
  <si>
    <t>1. Access the Edit page of a certificate request.
2. Find the ID OF REPRESENTATIVE WITH 3 SIGNATURES section.
3. Click the Preview button.</t>
  </si>
  <si>
    <t xml:space="preserve">
Fields Displayed:
• The file should open in a preview modal or new browser tab.
• File content must match the uploaded document.</t>
  </si>
  <si>
    <t>Verify that clicking the Download button downloads the ID OF REPRESENTATIVE WITH 3 SIGNATURES file.</t>
  </si>
  <si>
    <t>1. Access the Edit page of a certificate request.
2. Locate the "ID OF REPRESENTATIVE WITH 3 SIGNATURES" section.
3. Click the Download button.</t>
  </si>
  <si>
    <t xml:space="preserve">
Fields Displayed:
• Clicking the Download button should start the download of the uploaded file.
• The file should be correct and uncorrupted.</t>
  </si>
  <si>
    <t>Verify that the admin can set the status of ID OF REPRESENTATIVE WITH 3 SIGNATURES to Approved.</t>
  </si>
  <si>
    <t>1. Access the Edit page of a certificate request.
2. Locate the "ID OF REPRESENTATIVE WITH 3 SIGNATURES" section.
3. Set the file status to Approved.
4. Click Save and back.</t>
  </si>
  <si>
    <t xml:space="preserve">
Fields Displayed:
• The status dropdown must allow selection of Approved.
• The selected status should save and reflect after submission.
</t>
  </si>
  <si>
    <t>Verify that the admin can set the status of ID OF REPRESENTATIVE WITH 3 SIGNATURES to Rejected.</t>
  </si>
  <si>
    <t>1. Access the Edit page of a certificate request.
2. Locate the "ID OF REPRESENTATIVE WITH 3 SIGNATURES" section.
3. Set the file status to Rejected.
4. Click Save and back.</t>
  </si>
  <si>
    <t xml:space="preserve">
Fields Displayed:
• The status dropdown must allow selection of Rejected.
• Status change should persist after saving.</t>
  </si>
  <si>
    <t xml:space="preserve"> Verify that the admin can view the document name for the AUTHORIZATION LETTER.</t>
  </si>
  <si>
    <t>1. Access the Edit page of a certificate request.
2. Scroll to the "AUTHORIZATION LETTER" section.
3. Verify the uploaded file name is displayed.</t>
  </si>
  <si>
    <t xml:space="preserve">
Fields Displayed:
• The file name must be visible if uploaded.
• Otherwise, display “No file uploaded.”</t>
  </si>
  <si>
    <t>Verify that clicking the Preview button opens the AUTHORIZATION LETTER file.</t>
  </si>
  <si>
    <t>1. Access the Edit page of a certificate request.
2. Go to the "AUTHORIZATION LETTER" section.
3. Click the Preview button.</t>
  </si>
  <si>
    <t xml:space="preserve">
Fields Displayed:
• File must open in a preview modal or new tab.
• Document should be readable and correct.</t>
  </si>
  <si>
    <t>Verify that clicking the Download button downloads the AUTHORIZATION LETTER file.</t>
  </si>
  <si>
    <t>1. Access the Edit page of a certificate request.
2. Navigate to the "AUTHORIZATION LETTER" section.
3. Click the Download button.</t>
  </si>
  <si>
    <t>Fields Displayed:
• Download should begin upon clicking.
• File must match uploaded document.</t>
  </si>
  <si>
    <t>Verify that the admin can set the status of AUTHORIZATION LETTER to Approved.</t>
  </si>
  <si>
    <t>1. Access the Edit page of a certificate request.
2. Locate the "AUTHORIZATION LETTER" section.
3. Change status to Approved.
4. Click Save and back.</t>
  </si>
  <si>
    <t xml:space="preserve">Fields Displayed:
• Status dropdown must allow Approved.
• Approved value should save and persist.
</t>
  </si>
  <si>
    <t>Verify that the admin can set the status of AUTHORIZATION LETTER to Rejected.</t>
  </si>
  <si>
    <t>1. Access the Edit page of a certificate request.
2. Locate the "AUTHORIZATION LETTER" section.
3. Change status to Rejected.
4. Click Save and back.</t>
  </si>
  <si>
    <t xml:space="preserve">Fields Displayed:
• Status dropdown must allow Rejected.
• Change should be saved after submission.
</t>
  </si>
  <si>
    <t>Verify that the admin can view the document name for the SPECIAL POWER OF ATTORNEY.</t>
  </si>
  <si>
    <t>1. Access the Edit page of a certificate request.
2. Locate the "SPECIAL POWER OF ATTORNEY" section.
3. Check if the file name is visible.</t>
  </si>
  <si>
    <t>Fields Displayed:
• File name must be visible if uploaded.
• Otherwise show “No file uploaded.</t>
  </si>
  <si>
    <t>Verify that clicking the Preview button opens the SPECIAL POWER OF ATTORNEY file</t>
  </si>
  <si>
    <t>1. Access the Edit page of a certificate request.
2. Go to the "SPECIAL POWER OF ATTORNEY" section.
3. Click Preview.</t>
  </si>
  <si>
    <t>Fields Displayed:
• Preview should open in a new tab or modal.
• File must match the uploaded document.</t>
  </si>
  <si>
    <t>Verify that clicking the Download button downloads the SPECIAL POWER OF ATTORNEY file.</t>
  </si>
  <si>
    <t>1. Access the Edit page of a certificate request.
2. Find the "SPECIAL POWER OF ATTORNEY" section.
3. Click the Download button.</t>
  </si>
  <si>
    <t>Fields Displayed:
• File download should initiate.
• The file must be correct and intact.</t>
  </si>
  <si>
    <t>Verify that the admin can set the status of SPECIAL POWER OF ATTORNEY to Approved.</t>
  </si>
  <si>
    <t>1. Access the Edit page of a certificate request.
2. Locate the "SPECIAL POWER OF ATTORNEY" section.
3. Set the file status to Approved.
4. Click Save and back</t>
  </si>
  <si>
    <t>Verify that the admin can set the status of SPECIAL POWER OF ATTORNEY to Rejected.</t>
  </si>
  <si>
    <t>1. Access the Edit page of a certificate request.
2. Find the "SPECIAL POWER OF ATTORNEY" section.
3. Select Rejected from the dropdown.
4. Click Save and back.</t>
  </si>
  <si>
    <t xml:space="preserve"> Verify that selecting “No” on the claiming method hides the AUTHORIZED REPRESENTATIVE REQUIREMENTS section from the admin.</t>
  </si>
  <si>
    <t>1. Access the Edit page of a certificate request.
2. Confirm the claiming method is marked as “No”.
3. Look for the AUTHORIZED REPRESENTATIVE REQUIREMENTS section.</t>
  </si>
  <si>
    <t xml:space="preserve">Fields Displayed:
• The section should not be visible to the admin.
• Related fields should not appear on the page.
</t>
  </si>
  <si>
    <t>Verify that the ID OF REPRESENTATIVE WITH 3 SIGNATURES, AUTHORIZATION LETTER, and SPECIAL POWER OF ATTORNEY sections are not visible when “No” is selected for claiming via Authorized Representative.</t>
  </si>
  <si>
    <t>1. Access the Edit page of a certificate request.
2. Confirm claiming method is “No”.
3. Verify absence of all three document sections.</t>
  </si>
  <si>
    <t>Fields Displayed:
• The following fields must be hidden:
a) ID OF REPRESENTATIVE WITH 3 SIGNATURES
b) AUTHORIZATION LETTER
c) SPECIAL POWER OF ATTORNEY</t>
  </si>
  <si>
    <t>Verify that selecting “YES” for "TRANSFER OF TAX DECLARATION?" displays all related document sections to the admin.</t>
  </si>
  <si>
    <t>1. Access the Edit page of a certificate request.
2. Confirm that “TRANSFER OF TAX DECLARATION?” is marked Yes.
3. Scroll through the form and observe visible documents.</t>
  </si>
  <si>
    <t>Fields Displayed:
• All related fields for Transfer of Tax Declaration must be displayed, including:
a) CERTIFIED TRUE COPY OF TITLE
b) C.A.R.
c) DEED OF SALE etc.,</t>
  </si>
  <si>
    <t>Verify that the admin can Preview the document name for "CERTIFIED TRUE COPY OF TITLE".</t>
  </si>
  <si>
    <t>1. Access the Edit page of a certificate request.
2. Locate the "CERTIFIED TRUE COPY OF TITLE" section.
3. Click the Preview button.</t>
  </si>
  <si>
    <t>Fields Displayed:
• The file should open in preview.
• Content must be readable and correct.</t>
  </si>
  <si>
    <t>Verify that the admin can Download the file for "CERTIFIED TRUE COPY OF TITLE".</t>
  </si>
  <si>
    <t>1. Access the Edit page of a certificate request.
2. Locate the "CERTIFIED TRUE COPY OF TITLE" section.
3. Click the Download button.</t>
  </si>
  <si>
    <t xml:space="preserve">Fields Displayed:
• Download must begin upon clicking.
• File must be correct.
</t>
  </si>
  <si>
    <t>Verify that the admin can set the status of "CERTIFIED TRUE COPY OF TITLE".</t>
  </si>
  <si>
    <t>1. Access the Edit page of a certificate request.
2. Find the "CERTIFIED TRUE COPY OF TITLE" section.
3. Select Approved status.
4. Click Save and back.</t>
  </si>
  <si>
    <t>Fields Displayed:
• Status dropdown must include Approved.
• Selected value must be saved.</t>
  </si>
  <si>
    <t>1. Access the Edit page of a certificate request.
2. Go to the "CERTIFIED TRUE COPY OF TITLE" section.
3. Select Rejected from the dropdown.
4. Click Save and back.</t>
  </si>
  <si>
    <t>Fields Displayed:
• Rejected must be available.
• Status must reflect the update.</t>
  </si>
  <si>
    <t>Verify that the admin can view the document name for "XEROX COPY OF C.A.R. (BIR)".</t>
  </si>
  <si>
    <t>1. Access the Edit page of a certificate request.
2. Locate the "XEROX COPY OF C.A.R. (BIR)" section.
3. Observe if the file name is shown.</t>
  </si>
  <si>
    <t>Fields Displayed:
• File name should be displayed.
• If not uploaded, show “No file uploaded.”</t>
  </si>
  <si>
    <t>Verify that the admin can preview the file for "XEROX COPY OF C.A.R. (BIR)"</t>
  </si>
  <si>
    <t>1. Access the Edit page of a certificate request.
2. Locate the "XEROX COPY OF C.A.R. (BIR)" section.
3. Click the "Preview" button</t>
  </si>
  <si>
    <t>Fields Displayed:
• Clicking the "Preview" button must open the document in a modal or new tab.
• The document should be viewable and match the uploaded content.</t>
  </si>
  <si>
    <t>Verify that the admin can download the file for "XEROX COPY OF C.A.R. (BIR)"</t>
  </si>
  <si>
    <t>1. Access the Edit page of a certificate request.
2. Locate the "XEROX COPY OF C.A.R. (BIR)" section.
3. Click the "Download" button.</t>
  </si>
  <si>
    <t>Fields Displayed:
• The download must initiate upon clicking.
• The downloaded file should be correct and not corrupted.</t>
  </si>
  <si>
    <t>Verify that the admin can set the status of "XEROX COPY OF C.A.R. (BIR)" to approved.</t>
  </si>
  <si>
    <t>1. Access the Edit page of a certificate request.
2. Locate the "XEROX COPY OF C.A.R. (BIR)" section.
3. Select "Approved" from the status dropdown.
4. Click "Save and back".</t>
  </si>
  <si>
    <t>Fields Displayed:
• The status dropdown should allow selecting "Approved".
• The selected status should persist after saving.</t>
  </si>
  <si>
    <t xml:space="preserve">Verify that the admin can set the status of "XEROX COPY OF C.A.R. (BIR)" to rejected.
</t>
  </si>
  <si>
    <t>1. Access the Edit page of a certificate request.
2. Locate the "XEROX COPY OF C.A.R. (BIR)" section.
3. Select "Rejected" from the status dropdown.
4. Click "Save and back".</t>
  </si>
  <si>
    <t>Fields Displayed:
• The status dropdown should allow selecting "Rejected".
• The selected status should persist after saving.</t>
  </si>
  <si>
    <t>Verify that the admin can view the document name for "XEROX COPY OF DEED OF SALE / DONATION / EXTRA JUDICIAL SETTLEMENT".</t>
  </si>
  <si>
    <t>1. Access the Edit page of a certificate request.
2. Locate the "XEROX COPY OF DEED OF SALE / DONATION / EXTRA JUDICIAL SETTLEMENT" section.
3. Observe if the file name is shown.</t>
  </si>
  <si>
    <t>Verify that the admin can preview the file for "XEROX COPY OF DEED OF SALE / DONATION / EXTRA JUDICIAL SETTLEMENT".</t>
  </si>
  <si>
    <t>1. Access the Edit page of a certificate request.
2. Locate the "XEROX COPY OF DEED OF SALE / DONATION / EXTRA JUDICIAL SETTLEMENT" section.
3. Click the "Preview" button.</t>
  </si>
  <si>
    <t>Verify that the admin can download the file for "XEROX COPY OF DEED OF SALE / DONATION / EXTRA JUDICIAL SETTLEMENT".</t>
  </si>
  <si>
    <t>1. Access the Edit page of a certificate request.
2. Locate the "XEROX COPY OF DEED OF SALE / DONATION / EXTRA JUDICIAL SETTLEMENT" section.
3. Click the "Download" button.</t>
  </si>
  <si>
    <t>Verify that the admin can set the status of  "XEROX COPY OF DEED OF SALE / DONATION / EXTRA JUDICIAL SETTLEMENT" to approved</t>
  </si>
  <si>
    <t>1. Access the Edit page of a certificate request.
2. Locate the "XEROX COPY OF DEED OF SALE / DONATION / EXTRA JUDICIAL SETTLEMENT" section.
3. Select "Approved" from the status dropdown.
4. Click "Save and back".</t>
  </si>
  <si>
    <t>Verify that the admin can set the status of "XEROX COPY OF DEED OF SALE / DONATION / EXTRA JUDICIAL SETTLEMENT" to rejected.</t>
  </si>
  <si>
    <t>1. Access the Edit page of a certificate request.
2. Locate the "XEROX COPY OF DEED OF SALE / DONATION / EXTRA JUDICIAL SETTLEMENT" section.
3. Select "Rejected" from the status dropdown.
4. Click "Save and back".</t>
  </si>
  <si>
    <t>Verify that the admin can view the document name for "XEROX COPY OF REAL PROPERTY TAX RECEIPT OR TAX CLEARANCE".</t>
  </si>
  <si>
    <t>1. Access the Edit page of a certificate request.
2. Locate the "XEROX COPY OF REAL PROPERTY TAX RECEIPT OR TAX CLEARANCE" section.
3. Observe if the file name is shown.</t>
  </si>
  <si>
    <t>Verify that the admin can preview the file for "XEROX COPY OF REAL PROPERTY TAX RECEIPT OR TAX CLEARANCE".</t>
  </si>
  <si>
    <t>1. Access the Edit page of a certificate request.
2. Locate the "XEROX COPY OF REAL PROPERTY TAX RECEIPT OR TAX CLEARANCE" section.
3. Click the "Preview" button.</t>
  </si>
  <si>
    <t>Verify that the admin can download the file for "XEROX COPY OF REAL PROPERTY TAX RECEIPT OR TAX CLEARANCE".</t>
  </si>
  <si>
    <t>1. Access the Edit page of a certificate request.
2. Locate the "XEROX COPY OF REAL PROPERTY TAX RECEIPT OR TAX CLEARANCE" section.
3. Click the "Download" button."</t>
  </si>
  <si>
    <t>Verify that the admin can set the status of "XEROX COPY OF REAL PROPERTY TAX RECEIPT OR TAX CLEARANCE" to approved.</t>
  </si>
  <si>
    <t>1. Access the Edit page of a certificate request.
2. Locate the "XEROX COPY OF REAL PROPERTY TAX RECEIPT OR TAX CLEARANCE" section.
3. Select "Approved" from the status dropdown.
4. Click "Save and back".</t>
  </si>
  <si>
    <t>Verify that the admin can set the status of "XEROX COPY OF REAL PROPERTY TAX RECEIPT OR TAX CLEARANCE" to rejected.</t>
  </si>
  <si>
    <t>1. Access the Edit page of a certificate request.
2. Locate the "XEROX COPY OF REAL PROPERTY TAX RECEIPT OR TAX CLEARANCE" section.
3. Select "Rejected" from the status dropdown.
4. Click "Save and back".</t>
  </si>
  <si>
    <t xml:space="preserve">Verify that the admin can view the document name for "RECEIPT FROM RD FOR NEW TITLE". </t>
  </si>
  <si>
    <t>1. Access the Edit page of a certificate request.
2. Locate the "RECEIPT FROM RD FOR NEW TITLE" section.
3. Observe if the file name is shown.</t>
  </si>
  <si>
    <t xml:space="preserve">Verify that the admin can preview the file for "RECEIPT FROM RD FOR NEW TITLE". </t>
  </si>
  <si>
    <t>1. Access the Edit page of a certificate request.
2. Locate the "RECEIPT FROM RD FOR NEW TITLE" section.
3. Click the "Preview" button."</t>
  </si>
  <si>
    <t xml:space="preserve">Verify that the admin can download the file for "RECEIPT FROM RD FOR NEW TITLE". </t>
  </si>
  <si>
    <t>1. Access the Edit page of a certificate request.
2. Locate the "RECEIPT FROM RD FOR NEW TITLE" section.
3. Click the "Download" button.</t>
  </si>
  <si>
    <t>Verify that the admin can set the status of "RECEIPT FROM RD FOR NEW TITLE" to approved.</t>
  </si>
  <si>
    <t>1. Access the Edit page of a certificate request.
2. Locate the "RECEIPT FROM RD FOR NEW TITLE" section.
3. Select "Approved" from the status dropdown.
4. Click "Save and back".</t>
  </si>
  <si>
    <t>Verify that the admin can set the status of "RECEIPT FROM RD FOR NEW TITLE" to rejected.</t>
  </si>
  <si>
    <t>1. Access the Edit page of a certificate request.
2. Locate the "RECEIPT FROM RD FOR NEW TITLE" section.
3. Select "Rejected" from the status dropdown.
4. Click "Save and back".</t>
  </si>
  <si>
    <t>Verify that the admin can view the document name for "XEROX OF TRANSFER TAX RECEIPT OR CERTIFICATION OF TRANSFER TAX".</t>
  </si>
  <si>
    <t>1. Access the Edit page of a certificate request.
2. Locate the "XEROX OF TRANSFER TAX RECEIPT OR CERTIFICATION OF TRANSFER TAX" section.
3. Observe if the file name is shown.</t>
  </si>
  <si>
    <t>Verify that the admin can preview the file for "XEROX OF TRANSFER TAX RECEIPT OR CERTIFICATION OF TRANSFER TAX".</t>
  </si>
  <si>
    <t>1. Access the Edit page of a certificate request.
2. Locate the "XEROX OF TRANSFER TAX RECEIPT OR CERTIFICATION OF TRANSFER TAX" section.
3. Click the "Preview" button."</t>
  </si>
  <si>
    <t>Fields Displayed:
• Clicking the "Preview" button must open the document in a modal or new tab.
• The document should be viewable and match the uploaded content."</t>
  </si>
  <si>
    <t>Verify that the admin can download the file for"XEROX OF TRANSFER TAX RECEIPT OR CERTIFICATION OF TRANSFER TAX".</t>
  </si>
  <si>
    <t>1. Access the Edit page of a certificate request.
2. Locate the "XEROX OF TRANSFER TAX RECEIPT OR CERTIFICATION OF TRANSFER TAX" section.
3. Click the "Download" button."</t>
  </si>
  <si>
    <t>Verify that the admin can set the status of "XEROX OF TRANSFER TAX RECEIPT OR CERTIFICATION OF TRANSFER TAX" to approved.</t>
  </si>
  <si>
    <t>1. Access the Edit page of a certificate request.
2. Locate the "XEROX OF TRANSFER TAX RECEIPT OR CERTIFICATION OF TRANSFER TAX" section.
3. Select "Approved" from the status dropdown.
4. Click "Save and back".</t>
  </si>
  <si>
    <t>Verify that the admin can set the status of "XEROX OF TRANSFER TAX RECEIPT OR CERTIFICATION OF TRANSFER TAX" to rejected.</t>
  </si>
  <si>
    <t>1. Access the Edit page of a certificate request.
2. Locate the "XEROX OF TRANSFER TAX RECEIPT OR CERTIFICATION OF TRANSFER TAX" section.
3. Select "Rejected" from the status dropdown.
4. Click "Save and back".</t>
  </si>
  <si>
    <t>Verify that selecting YES” for "IS THE LOT SUBDIVIDED?"  displays the "COPY OF SUBDIVISION PLAN" to the admin.</t>
  </si>
  <si>
    <t>1. Access the Edit page of a certificate request.
2. Locate the "IS THE LOT SUBDIVIDED?" toggle field.
3. Set the toggle to “YES”.
4. Observe if the "COPY OF SUBDIVISION PLAN" section appears.</t>
  </si>
  <si>
    <t>Fields Displayed:
• The section for "COPY OF SUBDIVISION PLAN" should be visible when “YES” is selected.</t>
  </si>
  <si>
    <t>Verify that the admin can preview the file for "COPY OF SUBDIVISION PLAN".</t>
  </si>
  <si>
    <t>1. Access the Edit page of a certificate request.
2. Locate the "COPY OF SUBDIVISION PLAN" section.
3. Click the "Preview" button.</t>
  </si>
  <si>
    <t>Fields Displayed:
• Clicking the "Preview" button must open the document in a modal or new tab.
• The document content must match the uploaded file.</t>
  </si>
  <si>
    <t>Verify that the admin can download the file for "COPY OF SUBDIVISION PLAN".</t>
  </si>
  <si>
    <t>1. Access the Edit page of a certificate request.
2. Locate the "COPY OF SUBDIVISION PLAN" section.
3. Click the "Download" button.</t>
  </si>
  <si>
    <t>Fields Displayed:
• The file must download successfully.
• File content and name must be correct and uncorrupted.</t>
  </si>
  <si>
    <t>Verify that the admin can set the status of "COPY OF SUBDIVISION PLAN" to approved.</t>
  </si>
  <si>
    <t>1. Access the Edit page of a certificate request.
2. Locate the "COPY OF SUBDIVISION PLAN" section.
3. Select "Approved" in the status dropdown.
4. Click "Save and back".</t>
  </si>
  <si>
    <t>Fields Displayed:
• The status dropdown should allow selecting “Approved”.
• The selected status should persist after saving.</t>
  </si>
  <si>
    <t>Verify that the admin can set the status of "COPY OF SUBDIVISION PLAN"  to rejected.</t>
  </si>
  <si>
    <t>1. Access the Edit page of a certificate request.
2. Locate the "COPY OF SUBDIVISION PLAN" section.
3. Select "Rejected" in the status dropdown.
4. Click "Save and back".</t>
  </si>
  <si>
    <t>Fields Displayed:
• The status dropdown should allow selecting “Rejected”.
• The selected status should persist after saving.</t>
  </si>
  <si>
    <t>Verify that selecting “YES” for "HAS THE TITLE BEEN CANCELLED?" displays the "CERTIFIED CANCELED TITLE" to the admin.</t>
  </si>
  <si>
    <t>1. Access the Edit page of a certificate request.
2. Locate the "HAS THE TITLE BEEN CANCELLED?" toggle field.
3. Select “YES”.
4. Observe if "CERTIFIED CANCELED TITLE" section appears.</t>
  </si>
  <si>
    <t>Fields Displayed:
• The "CERTIFIED CANCELED TITLE" field should become visible upon selecting “YES”.</t>
  </si>
  <si>
    <t>Verify that the admin can preview the file for "CERTIFIED CANCELED TITLE ".</t>
  </si>
  <si>
    <t>1. Access the Edit page of a certificate request.
2. Locate the "CERTIFIED CANCELED TITLE" section.
3. Click the "Preview" button.</t>
  </si>
  <si>
    <t>Fields Displayed:
• File should open in a new tab or modal.
• Document content should match uploaded version.</t>
  </si>
  <si>
    <t>Verify that the admin can download the file for "CERTIFIED CANCELED TITLE ".</t>
  </si>
  <si>
    <t>1. Access the Edit page of a certificate request.
2. Locate the "CERTIFIED CANCELED TITLE" section.
3. Click the "Download" button</t>
  </si>
  <si>
    <t>Fields Displayed:
• File should download correctly.
• File content and filename should be accurate.</t>
  </si>
  <si>
    <t>Verify that the admin can set the status of "CERTIFIED CANCELED TITLE" to approved.</t>
  </si>
  <si>
    <t>1. Access the Edit page of a certificate request.
2. Locate the "CERTIFIED CANCELED TITLE" section.
3. Set status to "Approved".
4. Click "Save and back".</t>
  </si>
  <si>
    <t>Fields Displayed:
• Status dropdown must include “Approved”.
• Selection must persist after saving.</t>
  </si>
  <si>
    <t>Verify that the admin can set the status of  "CERTIFIED CANCELED TITLE" to rejected.</t>
  </si>
  <si>
    <t>1. Access the Edit page of a certificate request.
2. Locate the "CERTIFIED CANCELED TITLE" section.
3. Set status to "Rejected".
4. Click "Save and back</t>
  </si>
  <si>
    <t>Fields Displayed:
• Status dropdown must include “Rejected”.
• Selection must persist after saving.</t>
  </si>
  <si>
    <t>Verify that selecting “YES” for "IS THE LOT FORECLOSED?" displays the "CERTIFICATION OF SALE" to the admin.</t>
  </si>
  <si>
    <t>1. Access the Edit page of a certificate request.
2. Locate the "IS THE LOT FORECLOSED?" toggle.
3. Select “YES”.
4. Observe if "CERTIFICATION OF SALE" becomes visible.</t>
  </si>
  <si>
    <t>Fields Displayed:
• "CERTIFICATION OF SALE" field should display upon toggle selection of “YES”."</t>
  </si>
  <si>
    <t>Verify that the admin can preview the file for"CERTIFICATION OF SALE".</t>
  </si>
  <si>
    <t>1. Access the Edit page of a certificate request.
2. Locate the "CERTIFICATION OF SALE" section.
3. Click "Preview".</t>
  </si>
  <si>
    <t>Fields Displayed:
• Document must open in a readable format.
• Preview must match uploaded file.</t>
  </si>
  <si>
    <t>Verify that the admin can download the file for "CERTIFICATION OF SALE".</t>
  </si>
  <si>
    <t>1. Access the Edit page of a certificate request.
2. Locate the "CERTIFICATION OF SALE" section.
3. Click "Download".</t>
  </si>
  <si>
    <t>Fields Displayed:
• File should download properly with correct name and content.</t>
  </si>
  <si>
    <t>Verify that the admin can set the status of "CERTIFICATION OF SALE" to approved.</t>
  </si>
  <si>
    <t>1. Access the Edit page of a certificate request.
2. Locate the "CERTIFICATION OF SALE" section.
3. Set status to "Approved".
4. Click "Save and back".</t>
  </si>
  <si>
    <t>Fields Displayed:
• Status should be selectable as “Approved”.
• Value should remain after saving.</t>
  </si>
  <si>
    <t>Verify that the admin can set the status of  "CERTIFICATION OF SALE" to rejected.</t>
  </si>
  <si>
    <t>1. Access the Edit page of a certificate request.
2. Locate the "CERTIFICATION OF SALE" section.
3. Set status to "Rejected".
4. Click "Save and back"."</t>
  </si>
  <si>
    <t>Fields Displayed:
• Dropdown should offer “Rejected”.
• Status must be retained after saving.</t>
  </si>
  <si>
    <t>Verify that selecting “YES” for "IS THE LOT FORECLOSED?" displays the "AFFIDAVIT OF CONSOLIDATION OF OWNERSHIP" to the admin.</t>
  </si>
  <si>
    <t>1. Access the Edit page of a certificate request.
2. Locate the "IS THE LOT FORECLOSED?" toggle.
3. Select “YES”.
4. Observe if "AFFIDAVIT OF CONSOLIDATION OF OWNERSHIP" is shown.</t>
  </si>
  <si>
    <t>Fields Displayed:
• "AFFIDAVIT OF CONSOLIDATION OF OWNERSHIP" should be displayed on YES toggle.</t>
  </si>
  <si>
    <t>Verify that the admin can preview the file for "AFFIDAVIT OF CONSOLIDATION OF OWNERSHIP".</t>
  </si>
  <si>
    <t>1. Access the Edit page of a certificate request.
2. Locate the "AFFIDAVIT OF CONSOLIDATION OF OWNERSHIP" section.
3. Click "Preview".</t>
  </si>
  <si>
    <t>Fields Displayed:
• Preview should show the document clearly.
• Must match the uploaded content.</t>
  </si>
  <si>
    <t>Verify that the admin can download the file for "AFFIDAVIT OF CONSOLIDATION OF OWNERSHIP".</t>
  </si>
  <si>
    <t>1. Access the Edit page of a certificate request.
2. Locate the "AFFIDAVIT OF CONSOLIDATION OF OWNERSHIP" section.
3. Click "Download".</t>
  </si>
  <si>
    <t>Fields Displayed:
• File should download with correct name and valid content.</t>
  </si>
  <si>
    <t>Verify that the admin can set the status of "AFFIDAVIT OF CONSOLIDATION OF OWNERSHIP" to approved.</t>
  </si>
  <si>
    <t>1. Access the Edit page of a certificate request.
2. Locate the "AFFIDAVIT OF CONSOLIDATION OF OWNERSHIP" section.
3. Select “Approved” from the status dropdown.
4. Click "Save and back".</t>
  </si>
  <si>
    <t>Fields Displayed:
• Status selection “Approved” should be saved and remain after saving.</t>
  </si>
  <si>
    <t>Verify that the admin can set the status of  "AFFIDAVIT OF CONSOLIDATION OF OWNERSHIP" to rejected.</t>
  </si>
  <si>
    <t>1. Access the Edit page of a certificate request.
2. Locate the "AFFIDAVIT OF CONSOLIDATION OF OWNERSHIP" section.
3. Select “Rejected” from the status dropdown.
4. Click "Save and back"</t>
  </si>
  <si>
    <t>Fields Displayed:
• “Rejected” should be selectable and remain after save.</t>
  </si>
  <si>
    <t>Verify that clicking the Save and Back button successfully saves all status changes (Approved/Rejected) and redirects the admin to the Certificate Request list view.</t>
  </si>
  <si>
    <t>1. Make multiple status changes (e.g., Approved, Rejected).
2. Click “Save and back”.</t>
  </si>
  <si>
    <t>Fields Displayed:
• All changes should be saved.
• Admin should be redirected to the Certificate Request list page.</t>
  </si>
  <si>
    <t>Verify that clicking the Cancel button discards all unsaved changes and redirects the admin back to the Certificate Request list view.</t>
  </si>
  <si>
    <t>1. Make some status changes.
2. Click the “Cancel” button.</t>
  </si>
  <si>
    <t>Fields Displayed:
• No changes should be saved.
• Admin should be redirected to the Certificate Request list page.</t>
  </si>
  <si>
    <t xml:space="preserve"> Verify that the admin cannot update or change the status if the current status of the request is Draft on the user side.</t>
  </si>
  <si>
    <t>Verify that the admin cannot change the status if the current status is Draft.</t>
  </si>
  <si>
    <t>Verify that the admin can update the status from Pending Review to Under Review</t>
  </si>
  <si>
    <t>Verify that the admin can update the status from Under Review to Requires Changes</t>
  </si>
  <si>
    <t>Verify that the admin can update the status from Requires Changes to Awaiting Payment</t>
  </si>
  <si>
    <t>Verify that the admin can update the status from Awaiting Payment  to Payment Verification</t>
  </si>
  <si>
    <t>Verify that the admin can update the status from Payment Verification to Payment Verified</t>
  </si>
  <si>
    <t>Verify that the admin can update the status from Payment Verified to Certificate For Claiming</t>
  </si>
  <si>
    <t>Verify that the admin can update the status from Certificate For Claiming to Certificate Claimed</t>
  </si>
  <si>
    <t>Verify that the admin cannot revert the status from Under Review to Pending Review</t>
  </si>
  <si>
    <t>Verify that the admin cannot revert the status from Requires Changes to Under Review</t>
  </si>
  <si>
    <t>Verify that the admin cannot revert the status from Awaiting Payment to Requires Changes</t>
  </si>
  <si>
    <t xml:space="preserve"> Verify that the admin cannot revert the status from Payment Verification to Awaiting Payment</t>
  </si>
  <si>
    <t>Verify that the admin cannot revert the status from Payment Verified to Payment Verification</t>
  </si>
  <si>
    <t>Verify that the admin cannot revert the status from Certificate for Claiming to Payment Verified</t>
  </si>
  <si>
    <t>Verify that the admin cannot revert the status from Certificate Claimed to Any Previous Status</t>
  </si>
  <si>
    <t>Verify that the user receives an sms when the status is changed to "Pending review" by the admin for the certificate request</t>
  </si>
  <si>
    <t>Verify that the user receives an email when the status is changed to "Pending review" by the admin for the certificate request</t>
  </si>
  <si>
    <t xml:space="preserve">Verify that the admin receives an email when the status is changed to "Pending Review" for the certificate request.
</t>
  </si>
  <si>
    <t>1. Admin clicks the "Edit" button.
2. Admin changes the status to "Pending Review."
3. Admin reviews the documents submitted by the user.
4. Admin clicks the "Save and Close" button.
5. The system sends an email notification to the admin confirming the status change to "Pending Review."</t>
  </si>
  <si>
    <t>The system shall send an email notification to the registered email address of the Admin.</t>
  </si>
  <si>
    <t xml:space="preserve">Verify that the user receives an sms when the status is changed to "Under review" by the admin for the certificate request 
</t>
  </si>
  <si>
    <t xml:space="preserve">Verify that the user receives an email when the status is changed to "Under review" by the admin for the certificate request 
</t>
  </si>
  <si>
    <t xml:space="preserve">Verify that the user receives an sms when the status is changed to "Requires changes" by the admin for the certificate request 
</t>
  </si>
  <si>
    <t xml:space="preserve">Verify that the user receives an email when the status is changed to "Requires changes" by the admin for the certificate request
</t>
  </si>
  <si>
    <t xml:space="preserve">Verify that the user receives an sms when the status is changed to "Awaiting payment" by the admin for the certificate request 
</t>
  </si>
  <si>
    <t xml:space="preserve">Verify that the user receives an email when the status is changed to "Awaiting payment" by the admin for the certificate request
</t>
  </si>
  <si>
    <t xml:space="preserve">Verify that the user receives an sms when the status is changed to "Payment verification" by the admin for the certificate request
</t>
  </si>
  <si>
    <t xml:space="preserve">Verify that the user receives an email when the status is changed to "Payment verification" by the admin for the certificate request
</t>
  </si>
  <si>
    <t xml:space="preserve">Verify that the admin receives an email when the status is changed to "Payment verification" for the certificate request.
</t>
  </si>
  <si>
    <t>1. Admin clicks the "Edit" button.
2. Admin changes the status to "Payment verification"
3. Admin reviews the documents submitted by the user.
4. Admin clicks the "Save and Close" button.
5. The system sends an email notification to the admin confirming the status change to "Payment Verification"</t>
  </si>
  <si>
    <t xml:space="preserve">Verify that the user receives an sms when the status is changed to "Payment verified" by the admin for the certificate request
</t>
  </si>
  <si>
    <t xml:space="preserve">Verify that the user receives an email when the status is changed to "Payment verified" by the admin for the certificate request
</t>
  </si>
  <si>
    <t xml:space="preserve">Verify that the user receives an sms when the status is changed to "Certificate for claiming" by the admin for the certificate request
</t>
  </si>
  <si>
    <t xml:space="preserve">Verify that the user receives an email when the status is changed to "Certificate for claiming" by the admin for the certificate request
</t>
  </si>
  <si>
    <t xml:space="preserve">Verify that the user receives an sms when the status is changed to "Certificate claimed" by the admin for the certificate request
</t>
  </si>
  <si>
    <t xml:space="preserve">Verify that the user receives an email when the status is changed to "Certificate claimed" by the admin for the certificate request
</t>
  </si>
  <si>
    <r>
      <rPr>
        <rFont val="Inter"/>
        <b/>
        <color theme="1"/>
        <sz val="12.0"/>
      </rPr>
      <t xml:space="preserve">USER STORY: 
</t>
    </r>
    <r>
      <rPr>
        <rFont val="Inter"/>
        <color theme="1"/>
        <sz val="12.0"/>
      </rPr>
      <t xml:space="preserve">
As a </t>
    </r>
    <r>
      <rPr>
        <rFont val="Inter"/>
        <b/>
        <color theme="1"/>
        <sz val="12.0"/>
      </rPr>
      <t>system administrator</t>
    </r>
    <r>
      <rPr>
        <rFont val="Inter"/>
        <color theme="1"/>
        <sz val="12.0"/>
      </rPr>
      <t>,
I want to configure and manage email notifications assigned to specific internal user groups and status types,
So that the correct group (e.g., AO Officer, Treasury Office, BPLO Admin) receives automated updates or task reminders as certificate requests move through different statuses.</t>
    </r>
  </si>
  <si>
    <t>Verify that the Admin Assessor Office Status Emails List displays all status emails with columns: Group, Status, and Actions.</t>
  </si>
  <si>
    <t>1. The admin must go to http://68.183.231.65/admin.
2. The admin must log in using their credentials.
3. The admin must navigate to the AO – Assessor's Office section.
4. The admin must click on Status Emails.</t>
  </si>
  <si>
    <t>1. Admin should click on the AO – Assessor's Office section.
2. Admin should click on the Status Email</t>
  </si>
  <si>
    <t>Page Title:
Assessor Office Status Emails
Fields Displayed:
• The screen should display the following elements and columns in order:
a) Showing 1 to 3 of 3 entries – appears above the table, indicating the total number of items currently listed.
b) Admin Assessor Office Status Emails List – the section title displayed above the table.
c) +Add Email button – located above the table, allows the admin to add a new status email.
d) Search field – located on the top-right corner of the table, used to filter entries based on keywords.
Table Columns Displayed (in order):
a) Group
b) Status
c) Actions
Behavior:
• The Edit and Delete buttons must be visible in the Actions column for each row.
• The table should reflect the most recent entries by default.
• If filtered using the search bar, only rows matching the input keyword should remain visible.</t>
  </si>
  <si>
    <t>working - however there is no validation if the exact group and status is submitted as an already existing record</t>
  </si>
  <si>
    <t>Verify that the "+Add Email" button is visible and clickable on the Status Email and it will proceed to "Edit Email".</t>
  </si>
  <si>
    <t xml:space="preserve">1. Admin should locate the +Add Email button above the status email list.
2. Admin should click on the +Add Email button.
</t>
  </si>
  <si>
    <t>Clicking the +Add Email button should redirect the admin to the Edit Email screen.
Fields Displayed on Edit Email screen:
a) Group dropdown
b) Status dropdown
c) Subject field (marked with red asterisk *)
d) Body field (marked with red asterisk *) with a functional WYSIWYG editor
e) Save and Cancel buttons</t>
  </si>
  <si>
    <t xml:space="preserve">Verify that the search bar filters the Status Email list based on the entered group or status keyword.
</t>
  </si>
  <si>
    <t>1. Admin should locate the Search bar at the top-right corner of the table.
2. Admin should enter a keyword such as "AO Officer" or "Draft" into the search field.</t>
  </si>
  <si>
    <t xml:space="preserve">• The table should dynamically filter and display only rows that match the entered keyword.
• Non-matching entries should be hidden from the view.
• Search should work for both Group and Status values.
</t>
  </si>
  <si>
    <t>Verify that each row displays the correct Group, Status, and available Actions (e.g., Edit, Delete).</t>
  </si>
  <si>
    <t>1. Admin should view the rows under the status email table.
2. Admin should check the data under each of the following columns: Group, Status, and Actions.</t>
  </si>
  <si>
    <t>• Each row must correctly display the configured Group and its corresponding Status.
• The Actions column must show both Edit and Delete buttons.
• The values in each row should reflect actual status email entries from the system.</t>
  </si>
  <si>
    <t>Verify that clicking the Edit action button in a row successfully navigates the user to the Edit Email page, showing the selected group and status details.</t>
  </si>
  <si>
    <t>1. Admin should locate any row in the status email table.
2. Admin should click the Edit button associated with that row.</t>
  </si>
  <si>
    <t xml:space="preserve">The system should redirect the admin to the Edit Email screen.
The following fields should be pre-filled with the values from the selected row:
• Group – the dropdown must display the selected group from the row
• Status – the dropdown must display the selected status from the row
Group Dropdown Options (Expected Values):
• Super Administrator
• Test role
• BPLO user
• Administrator
• Bid Opportunities
• OBO User
• Treasury Office
• RPT User
• Treasury RPT Validation
• BPLO Admin
• BPLO TREASURY VALIDATION
• OBO ADMIN
• CHO Officer
• AO Officer
Status Dropdown (Expected Values):
• Draft
• Pending review
• Under review
• Requires changes
• Awaiting payment
• Payment verification
• Payment verified
• Certificate for claiming
• Certificate claimed
The admin should be able to update and save these fields.
</t>
  </si>
  <si>
    <t>Verify that clicking the Delete action button prompts a confirmation dialog to confirm deletion of the selected "Selected Email".</t>
  </si>
  <si>
    <t>1. Admin should locate any row in the status email table.
2. Admin should click the Delete button on the selected row.</t>
  </si>
  <si>
    <t>A confirmation dialog should appear with the message:
"Are you sure you want to delete this item?"
The dialog must have two buttons: Confirm and Cancel.
Clicking Confirm deletes the selected entry and removes it from the list.
Clicking Cancel closes the dialog and retains the current entry.</t>
  </si>
  <si>
    <t>Verify that the "Super Administrator" group can be selected when editing a status email.</t>
  </si>
  <si>
    <t>1. Admin should click the Group dropdown in the Edit Email screen.
2. Admin should choose the "Super Administrator" in the Group.
3. Admin should click and choose in Status.
4. Admin should click the Save and Close button</t>
  </si>
  <si>
    <t>The system should redirect the admin to the Edit Email screen.
The following fields should be pre-filled with the values from the selected row:
• Group – the dropdown must display the selected group from the row
• Status – the dropdown must display the selected status from the row
Group Dropdown Options (Expected Values):
• Super Administrator
• Test role
• BPLO user
• Administrator
• Bid Opportunities
• OBO User
• Treasury Office
• RPT User
• Treasury RPT Validation
• BPLO Admin
• BPLO TREASURY VALIDATION
• OBO ADMIN
• CHO Officer
• AO Officer
Status Dropdown (Expected Values):
• Draft
• Pending review
• Under review
• Requires changes
• Awaiting payment
• Payment verification
• Payment verified
• Certificate for claiming
• Certificate claimed
The admin should be able to:
Modify the Group and Status fields.
Submit the form, and the updated values must be saved successfully.
See a confirmation message or visual indication that changes were saved.</t>
  </si>
  <si>
    <t>Verify that the "Test role" group can be selected when editing a status email.</t>
  </si>
  <si>
    <t>1. Admin should click the Group dropdown in the Edit Email screen.
2. Admin should choose the "Test role" in the Group.
3. Admin should click and choose in Status.
4. Admin should click the Save and Close button</t>
  </si>
  <si>
    <t>Verify that the "BPLO user" group can be selected when editing a status email.</t>
  </si>
  <si>
    <t>1. Admin should click the Group dropdown in the Edit Email screen.
2. Admin should choose the "BPLO user" in the Group.
3. Admin should click and choose in Status.
4. Admin should click the Save and Close button</t>
  </si>
  <si>
    <t>Verify that the "Administrator" group can be selected when editing a status email.</t>
  </si>
  <si>
    <t>1. Admin should click the Group dropdown in the Edit Email screen.
2. Admin should choose the "Administrator" in the Group.
3. Admin should click and choose in Status.
4. Admin should click the Save and Close button</t>
  </si>
  <si>
    <t>Verify that the "Bid Opportunities" group can be selected when editing a status email.</t>
  </si>
  <si>
    <t>1. Admin should click the Group dropdown in the Edit Email screen.
2. Admin should choose the "Bid Opportunities" in the Group.
3. Admin should click and choose in Status.
4. Admin should click the Save and Close button</t>
  </si>
  <si>
    <t>Verify that the "OBO User" group can be selected when editing a status email.</t>
  </si>
  <si>
    <t>1. Admin should click the Group dropdown in the Edit Email screen.
2. Admin should choose the "OBO User" in the Group.
3. Admin should click and choose in Status.
4. Admin should click the Save and Close button</t>
  </si>
  <si>
    <t>Verify that the "Treasury Office" group can be selected when editing a status email.</t>
  </si>
  <si>
    <t>1. Admin should click the Group dropdown in the Edit Email screen.
2. Admin should choose the "Treasury Office" in the Group.
3. Admin should click and choose in Status.
4. Admin should click the Save and Close button</t>
  </si>
  <si>
    <t>Verify that the "RPT User" group can be selected when editing a status email.</t>
  </si>
  <si>
    <t>1. Admin should click the Group dropdown in the Edit Email screen.
2. Admin should choose the "RPT User" in the Group.
3. Admin should click and choose in Status.
4. Admin should click the Save and Close button</t>
  </si>
  <si>
    <t>Verify that the "Treasury RPT Validation" group can be selected when editing a status email.</t>
  </si>
  <si>
    <t>1. Admin should click the Group dropdown in the Edit Email screen.
2. Admin should choose the "Treasury RPT Validation" in the Group.
3. Admin should click and choose in Status.
4. Admin should click the Save and Close button</t>
  </si>
  <si>
    <t>Verify that the "BPLO Admin" group can be selected when editing a status email.</t>
  </si>
  <si>
    <t>1. Admin should click the Group dropdown in the Edit Email screen.
2. Admin should choose the "BPLO Admin" in the Group.
3. Admin should click and choose in Status.
4. Admin should click the Save and Close button</t>
  </si>
  <si>
    <t>Verify that the "BPLO TREASURY VALIDATION" group can be selected when editing a status email.</t>
  </si>
  <si>
    <t>1. Admin should click the Group dropdown in the Edit Email screen.
2. Admin should choose the "BPLO TREASURY VALIDATION" in the Group.
3. Admin should click and choose in Status.
4. Admin should click the Save and Close button</t>
  </si>
  <si>
    <t>Verify that the "OBO ADMIN" group can be selected when editing a status email.</t>
  </si>
  <si>
    <t>1. Admin should click the Group dropdown in the Edit Email screen.
2. Admin should choose the "OBO ADMIN" in the Group.
3. Admin should click and choose in Status.
4. Admin should click the Save and Close button</t>
  </si>
  <si>
    <t>Verify that the "CHO Officer" group can be selected when editing a status email.</t>
  </si>
  <si>
    <t>1. Admin should click the Group dropdown in the Edit Email screen.
2. Admin should choose the "CHO Officer" in the Group.
3. Admin should click and choose in Status.
4. Admin should click the Save and Close button</t>
  </si>
  <si>
    <t>Verify that the "AO Officer" group can be selected when editing a status email.</t>
  </si>
  <si>
    <t>1. Admin should click the Group dropdown in the Edit Email screen.
2. Admin should choose the "AO Officer" in the Group.
3. Admin should click and choose in Status.
4. Admin should click the Save and Close button</t>
  </si>
  <si>
    <t>Verify that the "Draft" status can be selected and edited for any selected group in the Edit Email screen.</t>
  </si>
  <si>
    <t>1. Admin should click the Group dropdown in the Edit Email screen.
2. Admin should click and choose in the Group dropdown.
3. Admin should click and choose "Draft" in Status.
4. Admin should click the Save and Close button</t>
  </si>
  <si>
    <t>Verify that the "Pending review" status can be selected and edited for any selected group.</t>
  </si>
  <si>
    <t>1. Admin should click the Group dropdown in the Edit Email screen.
2. Admin should click and choose in the Group dropdown.
3. Admin should click and choose "Pending review" in Status.
4. Admin should click the Save and Close button</t>
  </si>
  <si>
    <t xml:space="preserve">Verify that the "Under review" status can be selected and edited for any selected group.
</t>
  </si>
  <si>
    <t>1. Admin should click the Group dropdown in the Edit Email screen.
2. Admin should click and choose in the Group dropdown.
3. Admin should click and choose "Under review" in Status.
4. Admin should click the Save and Close button</t>
  </si>
  <si>
    <t>Verify that the "Requires changes" status can be selected and edited for any selected group.</t>
  </si>
  <si>
    <t>1. Admin should click the Group dropdown in the Edit Email screen.
2. Admin should click and choose in the Group dropdown.
3. Admin should click and choose "Requires changes" in Status.
4. Admin should click the Save and Close button</t>
  </si>
  <si>
    <t>Verify that the "Awaiting payment" status can be selected and edited for any selected group.</t>
  </si>
  <si>
    <t>1. Admin should click the Group dropdown in the Edit Email screen.
2. Admin should click and choose in the Group dropdown.
3. Admin should click and choose "Awaiting payment" in Status.
4. Admin should click the Save and Close button</t>
  </si>
  <si>
    <t xml:space="preserve">Verify that the "Payment verification" status can be selected and edited for any selected group.
</t>
  </si>
  <si>
    <t>1. Admin should click the Group dropdown in the Edit Email screen.
2. Admin should click and choose in the Group dropdown.
3. Admin should click and choose "Payment verification" in Status.
4. Admin should click the Save and Close button</t>
  </si>
  <si>
    <t>Verify that the "Payment verified" status can be selected and edited for any selected group.</t>
  </si>
  <si>
    <t>1. Admin should click the Group dropdown in the Edit Email screen.
2. Admin should click and choose in the Group dropdown.
3. Admin should click and choose "Payment verified" in Status.
4. Admin should click the Save and Close button</t>
  </si>
  <si>
    <t>Verify that the "Certificate for claiming" status can be selected and edited for any selected group.</t>
  </si>
  <si>
    <t>1. Admin should click the Group dropdown in the Edit Email screen.
2. Admin should click and choose in the Group dropdown.
3. Admin should click and choose "Certificate for claiming" in Status.
4. Admin should click the Save and Close button</t>
  </si>
  <si>
    <t>Verify that the "Certificate claimed" status can be selected and edited for any selected group.</t>
  </si>
  <si>
    <t>1. Admin should click the Group dropdown in the Edit Email screen.
2. Admin should click and choose in the Group dropdown.
3. Admin should click and choose "Certificate claimed" in Status.
4. Admin should click the Save and Close button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</si>
</sst>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9">
    <font>
      <sz val="10.0"/>
      <color rgb="FF000000"/>
      <name val="Arial"/>
      <scheme val="minor"/>
    </font>
    <font>
      <color theme="1"/>
      <name val="Arial"/>
    </font>
    <font>
      <b/>
      <sz val="21.0"/>
      <color rgb="FFFFFFFF"/>
      <name val="Inter"/>
    </font>
    <font>
      <b/>
      <sz val="11.0"/>
      <color theme="1"/>
      <name val="Inter"/>
    </font>
    <font/>
    <font>
      <sz val="12.0"/>
      <color theme="1"/>
      <name val="Inter"/>
    </font>
    <font>
      <sz val="11.0"/>
      <color theme="1"/>
      <name val="Inter"/>
    </font>
    <font>
      <color theme="1"/>
      <name val="Inter"/>
    </font>
    <font>
      <b/>
      <color rgb="FFFFFFFF"/>
      <name val="Inter"/>
    </font>
    <font>
      <i/>
      <sz val="9.0"/>
      <color rgb="FFFFFFFF"/>
      <name val="Inter"/>
    </font>
    <font>
      <b/>
      <color theme="1"/>
      <name val="Inter"/>
    </font>
    <font>
      <b/>
      <sz val="12.0"/>
      <color rgb="FFFFFFFF"/>
      <name val="Inter"/>
    </font>
    <font>
      <b/>
      <sz val="20.0"/>
      <color theme="1"/>
      <name val="Inter"/>
    </font>
    <font>
      <b/>
      <sz val="12.0"/>
      <color rgb="FFBF9000"/>
      <name val="Inter"/>
    </font>
    <font>
      <color theme="1"/>
      <name val="Arial"/>
      <scheme val="minor"/>
    </font>
    <font>
      <color rgb="FF000000"/>
      <name val="Inter"/>
    </font>
    <font>
      <b/>
      <sz val="12.0"/>
      <color rgb="FF990000"/>
      <name val="Inter"/>
    </font>
    <font>
      <b/>
      <sz val="12.0"/>
      <color theme="8"/>
      <name val="Inter"/>
    </font>
    <font>
      <b/>
      <sz val="12.0"/>
      <color rgb="FF6AA84F"/>
      <name val="Inter"/>
    </font>
    <font>
      <b/>
      <sz val="12.0"/>
      <color theme="1"/>
      <name val="Inter"/>
    </font>
    <font>
      <b/>
      <sz val="14.0"/>
      <color theme="1"/>
      <name val="Inter"/>
    </font>
    <font>
      <b/>
      <sz val="12.0"/>
      <color theme="1"/>
      <name val="Arial"/>
      <scheme val="minor"/>
    </font>
    <font>
      <b/>
      <sz val="12.0"/>
      <color rgb="FF1B1C1D"/>
      <name val="Arial"/>
      <scheme val="minor"/>
    </font>
    <font>
      <color rgb="FF575B5F"/>
      <name val="Arial"/>
      <scheme val="minor"/>
    </font>
    <font>
      <u/>
      <sz val="12.0"/>
      <color rgb="FF0000FF"/>
      <name val="Inter"/>
    </font>
    <font>
      <sz val="12.0"/>
      <color theme="1"/>
      <name val="Arial"/>
      <scheme val="minor"/>
    </font>
    <font>
      <sz val="12.0"/>
      <color rgb="FF434343"/>
      <name val="Roboto"/>
    </font>
    <font>
      <sz val="12.0"/>
      <color theme="1"/>
      <name val="Arial"/>
    </font>
    <font>
      <sz val="12.0"/>
      <color rgb="FF434343"/>
      <name val="Inter"/>
    </font>
  </fonts>
  <fills count="8">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B7B7B7"/>
        <bgColor rgb="FFB7B7B7"/>
      </patternFill>
    </fill>
    <fill>
      <patternFill patternType="solid">
        <fgColor rgb="FF434343"/>
        <bgColor rgb="FF434343"/>
      </patternFill>
    </fill>
    <fill>
      <patternFill patternType="solid">
        <fgColor rgb="FFC9DAF8"/>
        <bgColor rgb="FFC9DAF8"/>
      </patternFill>
    </fill>
    <fill>
      <patternFill patternType="solid">
        <fgColor rgb="FFF6F8F9"/>
        <bgColor rgb="FFF6F8F9"/>
      </patternFill>
    </fill>
  </fills>
  <borders count="12">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3" fontId="1" numFmtId="0" xfId="0" applyAlignment="1" applyFill="1" applyFont="1">
      <alignment vertical="bottom"/>
    </xf>
    <xf borderId="0" fillId="2" fontId="1" numFmtId="0" xfId="0" applyAlignment="1" applyFont="1">
      <alignment vertical="bottom"/>
    </xf>
    <xf borderId="0" fillId="2" fontId="1" numFmtId="0" xfId="0" applyAlignment="1" applyFont="1">
      <alignment vertical="top"/>
    </xf>
    <xf borderId="0" fillId="0" fontId="1" numFmtId="0" xfId="0" applyAlignment="1" applyFont="1">
      <alignment vertical="bottom"/>
    </xf>
    <xf borderId="0" fillId="3" fontId="2" numFmtId="0" xfId="0" applyAlignment="1" applyFont="1">
      <alignment readingOrder="0" vertical="center"/>
    </xf>
    <xf borderId="1" fillId="4" fontId="3" numFmtId="0" xfId="0" applyAlignment="1" applyBorder="1" applyFill="1" applyFont="1">
      <alignment shrinkToFit="0" wrapText="1"/>
    </xf>
    <xf borderId="2" fillId="0" fontId="4" numFmtId="0" xfId="0" applyBorder="1" applyFont="1"/>
    <xf borderId="1" fillId="2" fontId="5" numFmtId="0" xfId="0" applyAlignment="1" applyBorder="1" applyFont="1">
      <alignment horizontal="center" shrinkToFit="0" wrapText="1"/>
    </xf>
    <xf borderId="3" fillId="0" fontId="4" numFmtId="0" xfId="0" applyBorder="1" applyFont="1"/>
    <xf borderId="4" fillId="4" fontId="3" numFmtId="0" xfId="0" applyAlignment="1" applyBorder="1" applyFont="1">
      <alignment shrinkToFit="0" wrapText="1"/>
    </xf>
    <xf borderId="4" fillId="2" fontId="6" numFmtId="0" xfId="0" applyAlignment="1" applyBorder="1" applyFont="1">
      <alignment horizontal="center" shrinkToFit="0" wrapText="1"/>
    </xf>
    <xf borderId="4" fillId="2" fontId="6" numFmtId="164" xfId="0" applyAlignment="1" applyBorder="1" applyFont="1" applyNumberFormat="1">
      <alignment horizontal="center" shrinkToFit="0" wrapText="1"/>
    </xf>
    <xf borderId="4" fillId="2" fontId="7" numFmtId="0" xfId="0" applyAlignment="1" applyBorder="1" applyFont="1">
      <alignment horizontal="center" shrinkToFit="0" wrapText="1"/>
    </xf>
    <xf borderId="1" fillId="5" fontId="8" numFmtId="0" xfId="0" applyAlignment="1" applyBorder="1" applyFill="1" applyFont="1">
      <alignment horizontal="center" readingOrder="0" shrinkToFit="0" vertical="bottom" wrapText="1"/>
    </xf>
    <xf borderId="1" fillId="0" fontId="7" numFmtId="0" xfId="0" applyAlignment="1" applyBorder="1" applyFont="1">
      <alignment readingOrder="0" shrinkToFit="0" vertical="bottom" wrapText="1"/>
    </xf>
    <xf borderId="0" fillId="0" fontId="1" numFmtId="0" xfId="0" applyAlignment="1" applyFont="1">
      <alignment vertical="top"/>
    </xf>
    <xf borderId="1" fillId="5" fontId="9" numFmtId="0" xfId="0" applyAlignment="1" applyBorder="1" applyFont="1">
      <alignment horizontal="center" readingOrder="0" shrinkToFit="0" vertical="bottom" wrapText="1"/>
    </xf>
    <xf borderId="1" fillId="0" fontId="10" numFmtId="0" xfId="0" applyAlignment="1" applyBorder="1" applyFont="1">
      <alignment horizontal="center" readingOrder="0" shrinkToFit="0" wrapText="1"/>
    </xf>
    <xf borderId="1" fillId="0" fontId="7" numFmtId="0" xfId="0" applyAlignment="1" applyBorder="1" applyFont="1">
      <alignment readingOrder="0" shrinkToFit="0" wrapText="1"/>
    </xf>
    <xf borderId="0" fillId="0" fontId="7" numFmtId="0" xfId="0" applyAlignment="1" applyFont="1">
      <alignment shrinkToFit="0" vertical="center" wrapText="1"/>
    </xf>
    <xf borderId="4" fillId="5" fontId="11" numFmtId="0" xfId="0" applyAlignment="1" applyBorder="1" applyFont="1">
      <alignment horizontal="center" readingOrder="0" shrinkToFit="0" vertical="center" wrapText="1"/>
    </xf>
    <xf borderId="4" fillId="5" fontId="8" numFmtId="0" xfId="0" applyAlignment="1" applyBorder="1" applyFont="1">
      <alignment horizontal="center" readingOrder="0" shrinkToFit="0" vertical="center" wrapText="1"/>
    </xf>
    <xf borderId="4" fillId="5" fontId="8" numFmtId="0" xfId="0" applyAlignment="1" applyBorder="1" applyFont="1">
      <alignment horizontal="center" shrinkToFit="0" vertical="center" wrapText="1"/>
    </xf>
    <xf borderId="5" fillId="2" fontId="12" numFmtId="0" xfId="0" applyAlignment="1" applyBorder="1" applyFont="1">
      <alignment horizontal="center" readingOrder="0" shrinkToFit="0" vertical="center" wrapText="1"/>
    </xf>
    <xf borderId="4" fillId="2" fontId="13" numFmtId="0" xfId="0" applyAlignment="1" applyBorder="1" applyFont="1">
      <alignment horizontal="center" readingOrder="0" shrinkToFit="0" vertical="center" wrapText="1"/>
    </xf>
    <xf borderId="4" fillId="0" fontId="14" numFmtId="0" xfId="0" applyAlignment="1" applyBorder="1" applyFont="1">
      <alignment shrinkToFit="0" vertical="center" wrapText="1"/>
    </xf>
    <xf borderId="4" fillId="0" fontId="15" numFmtId="0" xfId="0" applyAlignment="1" applyBorder="1" applyFont="1">
      <alignment horizontal="center" shrinkToFit="0" vertical="center" wrapText="1"/>
    </xf>
    <xf borderId="6" fillId="0" fontId="4" numFmtId="0" xfId="0" applyBorder="1" applyFont="1"/>
    <xf borderId="4" fillId="2" fontId="16" numFmtId="0" xfId="0" applyAlignment="1" applyBorder="1" applyFont="1">
      <alignment horizontal="center" readingOrder="0" shrinkToFit="0" vertical="center" wrapText="1"/>
    </xf>
    <xf borderId="4" fillId="2" fontId="17" numFmtId="0" xfId="0" applyAlignment="1" applyBorder="1" applyFont="1">
      <alignment horizontal="center" readingOrder="0" shrinkToFit="0" vertical="center" wrapText="1"/>
    </xf>
    <xf borderId="7" fillId="0" fontId="4" numFmtId="0" xfId="0" applyBorder="1" applyFont="1"/>
    <xf borderId="4" fillId="2" fontId="18" numFmtId="0" xfId="0" applyAlignment="1" applyBorder="1" applyFont="1">
      <alignment horizontal="center" readingOrder="0" shrinkToFit="0" vertical="center" wrapText="1"/>
    </xf>
    <xf borderId="1" fillId="0" fontId="19" numFmtId="0" xfId="0" applyAlignment="1" applyBorder="1" applyFont="1">
      <alignment horizontal="center" shrinkToFit="0" vertical="center" wrapText="1"/>
    </xf>
    <xf borderId="8" fillId="0" fontId="20" numFmtId="0" xfId="0" applyAlignment="1" applyBorder="1" applyFont="1">
      <alignment horizontal="center" readingOrder="0" shrinkToFit="0" vertical="center" wrapText="1"/>
    </xf>
    <xf borderId="9" fillId="0" fontId="4" numFmtId="0" xfId="0" applyBorder="1" applyFont="1"/>
    <xf borderId="1" fillId="0" fontId="14" numFmtId="0" xfId="0" applyAlignment="1" applyBorder="1" applyFont="1">
      <alignment shrinkToFit="0" vertical="top" wrapText="1"/>
    </xf>
    <xf borderId="1" fillId="0" fontId="14" numFmtId="0" xfId="0" applyAlignment="1" applyBorder="1" applyFont="1">
      <alignment shrinkToFit="0" vertical="top" wrapText="1"/>
    </xf>
    <xf borderId="10" fillId="0" fontId="4" numFmtId="0" xfId="0" applyBorder="1" applyFont="1"/>
    <xf borderId="11" fillId="0" fontId="4" numFmtId="0" xfId="0" applyBorder="1" applyFont="1"/>
    <xf borderId="4" fillId="0" fontId="21"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0" fillId="0" fontId="14" numFmtId="0" xfId="0" applyAlignment="1" applyFont="1">
      <alignment shrinkToFit="0" wrapText="1"/>
    </xf>
    <xf borderId="0" fillId="0" fontId="14" numFmtId="0" xfId="0" applyAlignment="1" applyFont="1">
      <alignment horizontal="right" shrinkToFit="0" wrapText="1"/>
    </xf>
    <xf borderId="0" fillId="0" fontId="14" numFmtId="0" xfId="0" applyAlignment="1" applyFont="1">
      <alignment shrinkToFit="0" wrapText="1"/>
    </xf>
    <xf borderId="0" fillId="0" fontId="23" numFmtId="0" xfId="0" applyAlignment="1" applyFont="1">
      <alignment shrinkToFit="0" vertical="center" wrapText="1"/>
    </xf>
    <xf borderId="4" fillId="6" fontId="19" numFmtId="0" xfId="0" applyAlignment="1" applyBorder="1" applyFill="1" applyFont="1">
      <alignment readingOrder="0" shrinkToFit="0" vertical="center" wrapText="1"/>
    </xf>
    <xf borderId="4" fillId="6" fontId="24" numFmtId="0" xfId="0" applyAlignment="1" applyBorder="1" applyFont="1">
      <alignment readingOrder="0" shrinkToFit="0" vertical="center" wrapText="1"/>
    </xf>
    <xf borderId="4" fillId="6" fontId="19" numFmtId="0" xfId="0" applyAlignment="1" applyBorder="1" applyFont="1">
      <alignment readingOrder="0" shrinkToFit="0" wrapText="1"/>
    </xf>
    <xf borderId="0" fillId="0" fontId="19" numFmtId="0" xfId="0" applyAlignment="1" applyFont="1">
      <alignment shrinkToFit="0" wrapText="1"/>
    </xf>
    <xf borderId="4" fillId="0" fontId="19" numFmtId="0" xfId="0" applyAlignment="1" applyBorder="1" applyFont="1">
      <alignment readingOrder="0" shrinkToFit="0" vertical="center" wrapText="1"/>
    </xf>
    <xf borderId="4" fillId="0" fontId="19" numFmtId="0" xfId="0" applyAlignment="1" applyBorder="1" applyFont="1">
      <alignment readingOrder="0" shrinkToFit="0" wrapText="1"/>
    </xf>
    <xf borderId="4" fillId="0" fontId="25" numFmtId="0" xfId="0" applyAlignment="1" applyBorder="1" applyFont="1">
      <alignment readingOrder="0" shrinkToFit="0" vertical="center" wrapText="1"/>
    </xf>
    <xf borderId="4" fillId="0" fontId="25" numFmtId="0" xfId="0" applyAlignment="1" applyBorder="1" applyFont="1">
      <alignment readingOrder="0" shrinkToFit="0" vertical="bottom" wrapText="1"/>
    </xf>
    <xf borderId="4" fillId="0" fontId="25" numFmtId="0" xfId="0" applyAlignment="1" applyBorder="1" applyFont="1">
      <alignment readingOrder="0" shrinkToFit="0" wrapText="1"/>
    </xf>
    <xf borderId="4" fillId="0" fontId="25" numFmtId="0" xfId="0" applyAlignment="1" applyBorder="1" applyFont="1">
      <alignment shrinkToFit="0" wrapText="1"/>
    </xf>
    <xf borderId="4" fillId="0" fontId="25" numFmtId="0" xfId="0" applyAlignment="1" applyBorder="1" applyFont="1">
      <alignment readingOrder="0" shrinkToFit="0" vertical="center" wrapText="1"/>
    </xf>
    <xf borderId="0" fillId="0" fontId="7" numFmtId="0" xfId="0" applyAlignment="1" applyFont="1">
      <alignment readingOrder="0" shrinkToFit="0" wrapText="1"/>
    </xf>
    <xf borderId="4" fillId="0" fontId="19" numFmtId="0" xfId="0" applyAlignment="1" applyBorder="1" applyFont="1">
      <alignment shrinkToFit="0" wrapText="1"/>
    </xf>
    <xf borderId="4" fillId="0" fontId="5" numFmtId="0" xfId="0" applyAlignment="1" applyBorder="1" applyFont="1">
      <alignment readingOrder="0" shrinkToFit="0" vertical="center" wrapText="1"/>
    </xf>
    <xf borderId="4" fillId="0" fontId="5" numFmtId="0" xfId="0" applyAlignment="1" applyBorder="1" applyFont="1">
      <alignment readingOrder="0" shrinkToFit="0" wrapText="1"/>
    </xf>
    <xf borderId="4" fillId="7" fontId="25" numFmtId="0" xfId="0" applyAlignment="1" applyBorder="1" applyFill="1" applyFont="1">
      <alignment readingOrder="0" shrinkToFit="0" wrapText="1"/>
    </xf>
    <xf borderId="4" fillId="0" fontId="25" numFmtId="0" xfId="0" applyAlignment="1" applyBorder="1" applyFont="1">
      <alignment shrinkToFit="0" wrapText="1"/>
    </xf>
    <xf borderId="4" fillId="0" fontId="25" numFmtId="0" xfId="0" applyAlignment="1" applyBorder="1" applyFont="1">
      <alignment readingOrder="0" shrinkToFit="0" vertical="center" wrapText="1"/>
    </xf>
    <xf borderId="4" fillId="0" fontId="5" numFmtId="0" xfId="0" applyAlignment="1" applyBorder="1" applyFont="1">
      <alignment shrinkToFit="0" wrapText="1"/>
    </xf>
    <xf borderId="0" fillId="0" fontId="5" numFmtId="0" xfId="0" applyAlignment="1" applyFont="1">
      <alignment shrinkToFit="0" vertical="bottom" wrapText="1"/>
    </xf>
    <xf borderId="4" fillId="6" fontId="5" numFmtId="0" xfId="0" applyAlignment="1" applyBorder="1" applyFont="1">
      <alignment readingOrder="0" shrinkToFit="0" vertical="center" wrapText="1"/>
    </xf>
    <xf borderId="0" fillId="0" fontId="14" numFmtId="0" xfId="0" applyAlignment="1" applyFont="1">
      <alignment shrinkToFit="0" wrapText="1"/>
    </xf>
    <xf borderId="4" fillId="6" fontId="19" numFmtId="0" xfId="0" applyAlignment="1" applyBorder="1" applyFont="1">
      <alignment readingOrder="0" shrinkToFit="0" wrapText="1"/>
    </xf>
    <xf borderId="4" fillId="0" fontId="25" numFmtId="0" xfId="0" applyAlignment="1" applyBorder="1" applyFont="1">
      <alignment readingOrder="0" shrinkToFit="0" wrapText="1"/>
    </xf>
    <xf borderId="4" fillId="2" fontId="26" numFmtId="0" xfId="0" applyAlignment="1" applyBorder="1" applyFont="1">
      <alignment shrinkToFit="0" wrapText="1"/>
    </xf>
    <xf borderId="4" fillId="2" fontId="26" numFmtId="0" xfId="0" applyAlignment="1" applyBorder="1" applyFont="1">
      <alignment shrinkToFit="0" vertical="bottom" wrapText="1"/>
    </xf>
    <xf borderId="4" fillId="2" fontId="1" numFmtId="0" xfId="0" applyBorder="1" applyFont="1"/>
    <xf borderId="4" fillId="7" fontId="26" numFmtId="0" xfId="0" applyAlignment="1" applyBorder="1" applyFont="1">
      <alignment readingOrder="0" shrinkToFit="0" wrapText="1"/>
    </xf>
    <xf borderId="4" fillId="7" fontId="26" numFmtId="0" xfId="0" applyAlignment="1" applyBorder="1" applyFont="1">
      <alignment shrinkToFit="0" vertical="bottom" wrapText="1"/>
    </xf>
    <xf borderId="4" fillId="7" fontId="26" numFmtId="0" xfId="0" applyAlignment="1" applyBorder="1" applyFont="1">
      <alignment shrinkToFit="0" wrapText="1"/>
    </xf>
    <xf borderId="4" fillId="7" fontId="1" numFmtId="0" xfId="0" applyBorder="1" applyFont="1"/>
    <xf borderId="4" fillId="2" fontId="26" numFmtId="0" xfId="0" applyAlignment="1" applyBorder="1" applyFont="1">
      <alignment readingOrder="0" shrinkToFit="0" wrapText="1"/>
    </xf>
    <xf borderId="4" fillId="0" fontId="14" numFmtId="0" xfId="0" applyBorder="1" applyFont="1"/>
    <xf borderId="0" fillId="0" fontId="25" numFmtId="0" xfId="0" applyAlignment="1" applyFont="1">
      <alignment readingOrder="0" shrinkToFit="0" wrapText="1"/>
    </xf>
    <xf borderId="4" fillId="6" fontId="19" numFmtId="0" xfId="0" applyAlignment="1" applyBorder="1" applyFont="1">
      <alignment readingOrder="0" shrinkToFit="0" vertical="top" wrapText="1"/>
    </xf>
    <xf borderId="4" fillId="6" fontId="5" numFmtId="0" xfId="0" applyAlignment="1" applyBorder="1" applyFont="1">
      <alignment readingOrder="0" shrinkToFit="0" vertical="top" wrapText="1"/>
    </xf>
    <xf borderId="4" fillId="6" fontId="19" numFmtId="0" xfId="0" applyAlignment="1" applyBorder="1" applyFont="1">
      <alignment readingOrder="0" shrinkToFit="0" vertical="top" wrapText="1"/>
    </xf>
    <xf borderId="0" fillId="0" fontId="14" numFmtId="0" xfId="0" applyAlignment="1" applyFont="1">
      <alignment vertical="top"/>
    </xf>
    <xf borderId="4" fillId="0" fontId="19" numFmtId="0" xfId="0" applyAlignment="1" applyBorder="1" applyFont="1">
      <alignment readingOrder="0" shrinkToFit="0" vertical="top" wrapText="1"/>
    </xf>
    <xf borderId="4" fillId="0" fontId="25" numFmtId="0" xfId="0" applyAlignment="1" applyBorder="1" applyFont="1">
      <alignment readingOrder="0" shrinkToFit="0" vertical="top" wrapText="1"/>
    </xf>
    <xf borderId="4" fillId="7" fontId="26" numFmtId="0" xfId="0" applyAlignment="1" applyBorder="1" applyFont="1">
      <alignment readingOrder="0" shrinkToFit="0" vertical="top" wrapText="1"/>
    </xf>
    <xf borderId="4" fillId="7" fontId="26" numFmtId="0" xfId="0" applyAlignment="1" applyBorder="1" applyFont="1">
      <alignment shrinkToFit="0" vertical="top" wrapText="1"/>
    </xf>
    <xf borderId="4" fillId="7" fontId="1" numFmtId="0" xfId="0" applyAlignment="1" applyBorder="1" applyFont="1">
      <alignment vertical="top"/>
    </xf>
    <xf borderId="4" fillId="2" fontId="26" numFmtId="0" xfId="0" applyAlignment="1" applyBorder="1" applyFont="1">
      <alignment shrinkToFit="0" vertical="top" wrapText="1"/>
    </xf>
    <xf borderId="4" fillId="2" fontId="1" numFmtId="0" xfId="0" applyAlignment="1" applyBorder="1" applyFont="1">
      <alignment vertical="top"/>
    </xf>
    <xf borderId="4" fillId="2" fontId="26" numFmtId="0" xfId="0" applyAlignment="1" applyBorder="1" applyFont="1">
      <alignment readingOrder="0" shrinkToFit="0" vertical="top" wrapText="1"/>
    </xf>
    <xf borderId="4" fillId="0" fontId="25" numFmtId="0" xfId="0" applyAlignment="1" applyBorder="1" applyFont="1">
      <alignment shrinkToFit="0" vertical="top" wrapText="1"/>
    </xf>
    <xf borderId="4" fillId="7" fontId="25" numFmtId="0" xfId="0" applyAlignment="1" applyBorder="1" applyFont="1">
      <alignment readingOrder="0" shrinkToFit="0" vertical="top" wrapText="1"/>
    </xf>
    <xf borderId="0" fillId="0" fontId="25" numFmtId="0" xfId="0" applyAlignment="1" applyFont="1">
      <alignment readingOrder="0" shrinkToFit="0" vertical="center" wrapText="1"/>
    </xf>
    <xf borderId="4" fillId="0" fontId="27" numFmtId="0" xfId="0" applyAlignment="1" applyBorder="1" applyFont="1">
      <alignment shrinkToFit="0" vertical="bottom" wrapText="1"/>
    </xf>
    <xf borderId="4" fillId="6" fontId="5" numFmtId="0" xfId="0" applyAlignment="1" applyBorder="1" applyFont="1">
      <alignment readingOrder="0" shrinkToFit="0" vertical="center" wrapText="1"/>
    </xf>
    <xf borderId="4" fillId="6" fontId="19" numFmtId="0" xfId="0" applyAlignment="1" applyBorder="1" applyFont="1">
      <alignment readingOrder="0" shrinkToFit="0" wrapText="1"/>
    </xf>
    <xf borderId="4" fillId="0" fontId="5" numFmtId="0" xfId="0" applyAlignment="1" applyBorder="1" applyFont="1">
      <alignment readingOrder="0" shrinkToFit="0" vertical="center" wrapText="1"/>
    </xf>
    <xf borderId="4" fillId="0" fontId="5" numFmtId="0" xfId="0" applyAlignment="1" applyBorder="1" applyFont="1">
      <alignment readingOrder="0" shrinkToFit="0" vertical="bottom" wrapText="1"/>
    </xf>
    <xf borderId="4" fillId="0" fontId="5" numFmtId="0" xfId="0" applyAlignment="1" applyBorder="1" applyFont="1">
      <alignment readingOrder="0" shrinkToFit="0" wrapText="1"/>
    </xf>
    <xf borderId="4" fillId="0" fontId="5" numFmtId="0" xfId="0" applyAlignment="1" applyBorder="1" applyFont="1">
      <alignment shrinkToFit="0" wrapText="1"/>
    </xf>
    <xf borderId="4" fillId="0" fontId="5" numFmtId="0" xfId="0" applyAlignment="1" applyBorder="1" applyFont="1">
      <alignment readingOrder="0" shrinkToFit="0" vertical="center" wrapText="1"/>
    </xf>
    <xf borderId="4" fillId="2" fontId="28" numFmtId="0" xfId="0" applyAlignment="1" applyBorder="1" applyFont="1">
      <alignment shrinkToFit="0" wrapText="1"/>
    </xf>
    <xf borderId="4" fillId="2" fontId="28" numFmtId="0" xfId="0" applyAlignment="1" applyBorder="1" applyFont="1">
      <alignment shrinkToFit="0" vertical="bottom" wrapText="1"/>
    </xf>
    <xf borderId="4" fillId="2" fontId="7" numFmtId="0" xfId="0" applyBorder="1" applyFont="1"/>
    <xf borderId="4" fillId="7" fontId="28" numFmtId="0" xfId="0" applyAlignment="1" applyBorder="1" applyFont="1">
      <alignment shrinkToFit="0" wrapText="1"/>
    </xf>
    <xf borderId="4" fillId="7" fontId="28" numFmtId="0" xfId="0" applyAlignment="1" applyBorder="1" applyFont="1">
      <alignment shrinkToFit="0" vertical="bottom" wrapText="1"/>
    </xf>
    <xf borderId="4" fillId="7" fontId="7" numFmtId="0" xfId="0" applyBorder="1" applyFont="1"/>
    <xf borderId="4" fillId="2" fontId="28" numFmtId="0" xfId="0" applyAlignment="1" applyBorder="1" applyFont="1">
      <alignment readingOrder="0" shrinkToFit="0" wrapText="1"/>
    </xf>
    <xf borderId="4" fillId="7" fontId="5" numFmtId="0" xfId="0" applyAlignment="1" applyBorder="1" applyFont="1">
      <alignment readingOrder="0" shrinkToFit="0" wrapText="1"/>
    </xf>
    <xf borderId="4" fillId="7" fontId="1" numFmtId="0" xfId="0" applyAlignment="1" applyBorder="1" applyFont="1">
      <alignment shrinkToFit="0" wrapText="1"/>
    </xf>
    <xf borderId="4" fillId="2" fontId="1" numFmtId="0" xfId="0" applyAlignment="1" applyBorder="1" applyFont="1">
      <alignment shrinkToFit="0" wrapText="1"/>
    </xf>
    <xf borderId="0" fillId="0" fontId="14" numFmtId="0" xfId="0" applyAlignment="1" applyFont="1">
      <alignment readingOrder="0" shrinkToFit="0" wrapText="1"/>
    </xf>
    <xf borderId="4" fillId="0" fontId="5" numFmtId="0" xfId="0" applyAlignment="1" applyBorder="1" applyFont="1">
      <alignment shrinkToFit="0" vertical="center" wrapText="1"/>
    </xf>
    <xf borderId="4" fillId="2" fontId="7" numFmtId="0" xfId="0" applyAlignment="1" applyBorder="1" applyFont="1">
      <alignment shrinkToFit="0" vertical="center" wrapText="1"/>
    </xf>
    <xf borderId="4" fillId="7" fontId="7" numFmtId="0" xfId="0" applyAlignment="1" applyBorder="1" applyFont="1">
      <alignment shrinkToFit="0" vertical="center" wrapText="1"/>
    </xf>
    <xf borderId="4" fillId="0" fontId="25" numFmtId="0" xfId="0" applyAlignment="1" applyBorder="1" applyFont="1">
      <alignment shrinkToFit="0" vertical="center" wrapText="1"/>
    </xf>
    <xf borderId="0" fillId="0" fontId="14" numFmtId="0" xfId="0" applyAlignment="1" applyFont="1">
      <alignment readingOrder="0" shrinkToFit="0" vertical="center" wrapText="1"/>
    </xf>
    <xf borderId="0" fillId="0" fontId="14" numFmtId="0" xfId="0" applyAlignment="1" applyFont="1">
      <alignment shrinkToFit="0" vertical="center" wrapText="1"/>
    </xf>
    <xf borderId="0" fillId="0" fontId="14" numFmtId="0" xfId="0" applyAlignment="1" applyFont="1">
      <alignment vertical="center"/>
    </xf>
    <xf borderId="4" fillId="7" fontId="1" numFmtId="0" xfId="0" applyBorder="1" applyFont="1"/>
    <xf borderId="4" fillId="2" fontId="1" numFmtId="0" xfId="0" applyBorder="1" applyFont="1"/>
    <xf borderId="4" fillId="0" fontId="25" numFmtId="0" xfId="0" applyAlignment="1" applyBorder="1" applyFont="1">
      <alignment readingOrder="0" shrinkToFit="0" wrapText="1"/>
    </xf>
    <xf borderId="4" fillId="0" fontId="5" numFmtId="0" xfId="0" applyAlignment="1" applyBorder="1" applyFont="1">
      <alignment readingOrder="0" shrinkToFit="0" wrapText="1"/>
    </xf>
    <xf borderId="0" fillId="0" fontId="5" numFmtId="0" xfId="0" applyAlignment="1" applyFont="1">
      <alignment readingOrder="0" shrinkToFit="0" wrapText="1"/>
    </xf>
    <xf borderId="4" fillId="0" fontId="25" numFmtId="0" xfId="0" applyAlignment="1" applyBorder="1" applyFont="1">
      <alignment readingOrder="0"/>
    </xf>
    <xf borderId="4" fillId="0" fontId="5" numFmtId="0" xfId="0" applyAlignment="1" applyBorder="1" applyFont="1">
      <alignment readingOrder="0" shrinkToFit="0" vertical="center" wrapText="1"/>
    </xf>
    <xf borderId="4" fillId="0" fontId="19" numFmtId="0" xfId="0" applyAlignment="1" applyBorder="1" applyFont="1">
      <alignment shrinkToFit="0" wrapText="1"/>
    </xf>
    <xf borderId="4" fillId="2" fontId="28" numFmtId="0" xfId="0" applyAlignment="1" applyBorder="1" applyFont="1">
      <alignment readingOrder="0" shrinkToFit="0" vertical="center" wrapText="1"/>
    </xf>
    <xf borderId="4" fillId="2" fontId="28" numFmtId="0" xfId="0" applyAlignment="1" applyBorder="1" applyFont="1">
      <alignment readingOrder="0" shrinkToFit="0" vertical="bottom" wrapText="1"/>
    </xf>
    <xf borderId="4" fillId="2" fontId="5" numFmtId="0" xfId="0" applyAlignment="1" applyBorder="1" applyFont="1">
      <alignment shrinkToFit="0" wrapText="1"/>
    </xf>
    <xf borderId="4" fillId="2" fontId="5" numFmtId="0" xfId="0" applyAlignment="1" applyBorder="1" applyFont="1">
      <alignment shrinkToFit="0" wrapText="1"/>
    </xf>
    <xf borderId="4" fillId="7" fontId="28" numFmtId="0" xfId="0" applyAlignment="1" applyBorder="1" applyFont="1">
      <alignment readingOrder="0" shrinkToFit="0" vertical="center" wrapText="1"/>
    </xf>
    <xf borderId="4" fillId="7" fontId="28" numFmtId="0" xfId="0" applyAlignment="1" applyBorder="1" applyFont="1">
      <alignment readingOrder="0" shrinkToFit="0" vertical="bottom" wrapText="1"/>
    </xf>
    <xf borderId="4" fillId="7" fontId="28" numFmtId="0" xfId="0" applyAlignment="1" applyBorder="1" applyFont="1">
      <alignment readingOrder="0" shrinkToFit="0" wrapText="1"/>
    </xf>
    <xf borderId="4" fillId="7" fontId="5" numFmtId="0" xfId="0" applyAlignment="1" applyBorder="1" applyFont="1">
      <alignment shrinkToFit="0" wrapText="1"/>
    </xf>
    <xf borderId="4" fillId="7" fontId="5" numFmtId="0" xfId="0" applyAlignment="1" applyBorder="1" applyFont="1">
      <alignment shrinkToFit="0" wrapText="1"/>
    </xf>
    <xf borderId="4" fillId="2" fontId="25" numFmtId="0" xfId="0" applyAlignment="1" applyBorder="1" applyFont="1">
      <alignment readingOrder="0" shrinkToFit="0" vertical="center" wrapText="1"/>
    </xf>
    <xf borderId="4" fillId="2" fontId="25" numFmtId="0" xfId="0" applyAlignment="1" applyBorder="1" applyFont="1">
      <alignment readingOrder="0" shrinkToFit="0" vertical="bottom" wrapText="1"/>
    </xf>
    <xf borderId="4" fillId="2" fontId="25" numFmtId="0" xfId="0" applyAlignment="1" applyBorder="1" applyFont="1">
      <alignment readingOrder="0" shrinkToFit="0" wrapText="1"/>
    </xf>
    <xf borderId="4" fillId="7" fontId="25" numFmtId="0" xfId="0" applyAlignment="1" applyBorder="1" applyFont="1">
      <alignment readingOrder="0" shrinkToFit="0" vertical="center" wrapText="1"/>
    </xf>
    <xf borderId="4" fillId="7" fontId="25" numFmtId="0" xfId="0" applyAlignment="1" applyBorder="1" applyFont="1">
      <alignment readingOrder="0" shrinkToFit="0" vertical="bottom" wrapText="1"/>
    </xf>
    <xf borderId="4" fillId="7" fontId="25" numFmtId="0" xfId="0" applyAlignment="1" applyBorder="1" applyFont="1">
      <alignment shrinkToFit="0" wrapText="1"/>
    </xf>
    <xf borderId="0" fillId="0" fontId="25" numFmtId="0" xfId="0" applyAlignment="1" applyFont="1">
      <alignment readingOrder="0"/>
    </xf>
    <xf borderId="4" fillId="0" fontId="25" numFmtId="0" xfId="0" applyAlignment="1" applyBorder="1" applyFont="1">
      <alignment readingOrder="0" shrinkToFit="0" vertical="bottom" wrapText="1"/>
    </xf>
    <xf borderId="4" fillId="0" fontId="25" numFmtId="0" xfId="0" applyAlignment="1" applyBorder="1" applyFont="1">
      <alignment readingOrder="0" vertical="center"/>
    </xf>
    <xf borderId="4" fillId="0" fontId="25" numFmtId="0" xfId="0" applyAlignment="1" applyBorder="1" applyFont="1">
      <alignment vertical="center"/>
    </xf>
    <xf borderId="4" fillId="0" fontId="25" numFmtId="0" xfId="0" applyAlignment="1" applyBorder="1" applyFont="1">
      <alignment shrinkToFit="0" wrapText="1"/>
    </xf>
    <xf borderId="0" fillId="0" fontId="25" numFmtId="0" xfId="0" applyAlignment="1" applyFont="1">
      <alignment shrinkToFit="0" wrapText="1"/>
    </xf>
  </cellXfs>
  <cellStyles count="1">
    <cellStyle xfId="0" name="Normal" builtinId="0"/>
  </cellStyles>
  <dxfs count="7">
    <dxf>
      <font/>
      <fill>
        <patternFill patternType="solid">
          <fgColor rgb="FFFCE8B2"/>
          <bgColor rgb="FFFCE8B2"/>
        </patternFill>
      </fill>
      <border/>
    </dxf>
    <dxf>
      <font/>
      <fill>
        <patternFill patternType="solid">
          <fgColor rgb="FFF4C7C3"/>
          <bgColor rgb="FFF4C7C3"/>
        </patternFill>
      </fill>
      <border/>
    </dxf>
    <dxf>
      <font/>
      <fill>
        <patternFill patternType="solid">
          <fgColor rgb="FFF6B26B"/>
          <bgColor rgb="FFF6B26B"/>
        </patternFill>
      </fill>
      <border/>
    </dxf>
    <dxf>
      <font/>
      <fill>
        <patternFill patternType="solid">
          <fgColor rgb="FFB7E1CD"/>
          <bgColor rgb="FFB7E1CD"/>
        </patternFill>
      </fill>
      <border/>
    </dxf>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9">
    <tableStyle count="2" pivot="0" name="PG-US-01-style">
      <tableStyleElement dxfId="5" type="firstRowStripe"/>
      <tableStyleElement dxfId="6" type="secondRowStripe"/>
    </tableStyle>
    <tableStyle count="2" pivot="0" name="PG-US-02-style">
      <tableStyleElement dxfId="5" type="firstRowStripe"/>
      <tableStyleElement dxfId="6" type="secondRowStripe"/>
    </tableStyle>
    <tableStyle count="2" pivot="0" name="PG-US-03-style">
      <tableStyleElement dxfId="5" type="firstRowStripe"/>
      <tableStyleElement dxfId="6" type="secondRowStripe"/>
    </tableStyle>
    <tableStyle count="2" pivot="0" name="PG-US-04-style">
      <tableStyleElement dxfId="5" type="firstRowStripe"/>
      <tableStyleElement dxfId="6" type="secondRowStripe"/>
    </tableStyle>
    <tableStyle count="2" pivot="0" name="PG-US-05-style">
      <tableStyleElement dxfId="6" type="firstRowStripe"/>
      <tableStyleElement dxfId="5" type="secondRowStripe"/>
    </tableStyle>
    <tableStyle count="2" pivot="0" name="PG-US-09-style">
      <tableStyleElement dxfId="6" type="firstRowStripe"/>
      <tableStyleElement dxfId="5" type="secondRowStripe"/>
    </tableStyle>
    <tableStyle count="2" pivot="0" name="PG-US-11-style">
      <tableStyleElement dxfId="6" type="firstRowStripe"/>
      <tableStyleElement dxfId="5" type="secondRowStripe"/>
    </tableStyle>
    <tableStyle count="2" pivot="0" name="PG-US-15-style">
      <tableStyleElement dxfId="6" type="firstRowStripe"/>
      <tableStyleElement dxfId="5" type="secondRowStripe"/>
    </tableStyle>
    <tableStyle count="2" pivot="0" name="PG-US-16-style">
      <tableStyleElement dxfId="6" type="firstRowStripe"/>
      <tableStyleElement dxfId="5"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ustin Orolfo" id="{16be0749-1cd3-47f8-9ebb-4e6ae7546450}" providerId="google-sheets"/>
</x18tc:personList>
</file>

<file path=xl/tables/table1.xml><?xml version="1.0" encoding="utf-8"?>
<table xmlns="http://schemas.openxmlformats.org/spreadsheetml/2006/main" headerRowCount="0" ref="A1:G37"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PG-US-01-style" showColumnStripes="0" showFirstColumn="1" showLastColumn="1" showRowStripes="1"/>
</table>
</file>

<file path=xl/tables/table2.xml><?xml version="1.0" encoding="utf-8"?>
<table xmlns="http://schemas.openxmlformats.org/spreadsheetml/2006/main" headerRowCount="0" ref="A18:G38"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PG-US-02-style" showColumnStripes="0" showFirstColumn="1" showLastColumn="1" showRowStripes="1"/>
</table>
</file>

<file path=xl/tables/table3.xml><?xml version="1.0" encoding="utf-8"?>
<table xmlns="http://schemas.openxmlformats.org/spreadsheetml/2006/main" headerRowCount="0" ref="A1:G38"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PG-US-03-style" showColumnStripes="0" showFirstColumn="1" showLastColumn="1" showRowStripes="1"/>
</table>
</file>

<file path=xl/tables/table4.xml><?xml version="1.0" encoding="utf-8"?>
<table xmlns="http://schemas.openxmlformats.org/spreadsheetml/2006/main" headerRowCount="0" ref="A1:G38" displayName="Table_4" name="Table_4" id="4">
  <tableColumns count="7">
    <tableColumn name="Column1" id="1"/>
    <tableColumn name="Column2" id="2"/>
    <tableColumn name="Column3" id="3"/>
    <tableColumn name="Column4" id="4"/>
    <tableColumn name="Column5" id="5"/>
    <tableColumn name="Column6" id="6"/>
    <tableColumn name="Column7" id="7"/>
  </tableColumns>
  <tableStyleInfo name="PG-US-04-style" showColumnStripes="0" showFirstColumn="1" showLastColumn="1" showRowStripes="1"/>
</table>
</file>

<file path=xl/tables/table5.xml><?xml version="1.0" encoding="utf-8"?>
<table xmlns="http://schemas.openxmlformats.org/spreadsheetml/2006/main" headerRowCount="0" ref="A1:G27"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PG-US-05-style" showColumnStripes="0" showFirstColumn="1" showLastColumn="1" showRowStripes="1"/>
</table>
</file>

<file path=xl/tables/table6.xml><?xml version="1.0" encoding="utf-8"?>
<table xmlns="http://schemas.openxmlformats.org/spreadsheetml/2006/main" headerRowCount="0" ref="A1:G22"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PG-US-09-style" showColumnStripes="0" showFirstColumn="1" showLastColumn="1" showRowStripes="1"/>
</table>
</file>

<file path=xl/tables/table7.xml><?xml version="1.0" encoding="utf-8"?>
<table xmlns="http://schemas.openxmlformats.org/spreadsheetml/2006/main" headerRowCount="0" ref="A1:G22"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PG-US-11-style" showColumnStripes="0" showFirstColumn="1" showLastColumn="1" showRowStripes="1"/>
</table>
</file>

<file path=xl/tables/table8.xml><?xml version="1.0" encoding="utf-8"?>
<table xmlns="http://schemas.openxmlformats.org/spreadsheetml/2006/main" headerRowCount="0" ref="A1:G21" displayName="Table_8" name="Table_8" id="8">
  <tableColumns count="7">
    <tableColumn name="Column1" id="1"/>
    <tableColumn name="Column2" id="2"/>
    <tableColumn name="Column3" id="3"/>
    <tableColumn name="Column4" id="4"/>
    <tableColumn name="Column5" id="5"/>
    <tableColumn name="Column6" id="6"/>
    <tableColumn name="Column7" id="7"/>
  </tableColumns>
  <tableStyleInfo name="PG-US-15-style" showColumnStripes="0" showFirstColumn="1" showLastColumn="1" showRowStripes="1"/>
</table>
</file>

<file path=xl/tables/table9.xml><?xml version="1.0" encoding="utf-8"?>
<table xmlns="http://schemas.openxmlformats.org/spreadsheetml/2006/main" headerRowCount="0" ref="A1:G22" displayName="Table_9" name="Table_9" id="9">
  <tableColumns count="7">
    <tableColumn name="Column1" id="1"/>
    <tableColumn name="Column2" id="2"/>
    <tableColumn name="Column3" id="3"/>
    <tableColumn name="Column4" id="4"/>
    <tableColumn name="Column5" id="5"/>
    <tableColumn name="Column6" id="6"/>
    <tableColumn name="Column7" id="7"/>
  </tableColumns>
  <tableStyleInfo name="PG-US-1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1" dT="2025-07-03T09:35:02.00" personId="{16be0749-1cd3-47f8-9ebb-4e6ae7546450}" id="{dce398c2-473f-4585-abc1-90d8b6438d71}" done="1">
    <x18tc:text xml:space="preserve">Removed line re: confirmation message, not included in requirements.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5" dT="2025-07-03T09:36:51.00" personId="{16be0749-1cd3-47f8-9ebb-4e6ae7546450}" id="{c0404e80-757f-4362-b231-e8f43045246c}" done="0">
    <x18tc:text xml:space="preserve">Removed line re: confirmation message, not included in initial requirements.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repo.projectgrey.net/sta-rosa/sta-rosa-payment-portal/-/issues/17" TargetMode="External"/><Relationship Id="rId2" Type="http://schemas.openxmlformats.org/officeDocument/2006/relationships/drawing" Target="../drawings/drawing3.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repo.projectgrey.net/sta-rosa/sta-rosa-payment-portal/-/issues/18" TargetMode="External"/><Relationship Id="rId2" Type="http://schemas.openxmlformats.org/officeDocument/2006/relationships/drawing" Target="../drawings/drawing4.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 Id="rId7"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9.xml"/><Relationship Id="rId5"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3.38"/>
    <col customWidth="1" min="3" max="5" width="20.63"/>
    <col customWidth="1" min="6" max="6" width="2.38"/>
    <col customWidth="1" min="7" max="9" width="21.38"/>
    <col customWidth="1" min="11" max="11" width="17.88"/>
  </cols>
  <sheetData>
    <row r="1">
      <c r="A1" s="1" t="s">
        <v>0</v>
      </c>
      <c r="B1" s="2"/>
      <c r="C1" s="2"/>
      <c r="D1" s="2"/>
      <c r="E1" s="2"/>
      <c r="F1" s="2"/>
      <c r="G1" s="2"/>
      <c r="H1" s="2"/>
      <c r="I1" s="2"/>
      <c r="J1" s="3"/>
      <c r="K1" s="4"/>
      <c r="L1" s="5"/>
      <c r="M1" s="5"/>
      <c r="N1" s="5"/>
      <c r="O1" s="5"/>
      <c r="P1" s="5"/>
      <c r="Q1" s="5"/>
      <c r="R1" s="5"/>
      <c r="S1" s="5"/>
      <c r="T1" s="5"/>
      <c r="U1" s="5"/>
      <c r="V1" s="5"/>
      <c r="W1" s="5"/>
      <c r="X1" s="5"/>
      <c r="Y1" s="5"/>
      <c r="Z1" s="5"/>
      <c r="AA1" s="5"/>
      <c r="AB1" s="5"/>
    </row>
    <row r="2">
      <c r="A2" s="3"/>
      <c r="B2" s="2"/>
      <c r="C2" s="2"/>
      <c r="D2" s="2"/>
      <c r="E2" s="6" t="s">
        <v>1</v>
      </c>
      <c r="F2" s="2"/>
      <c r="G2" s="2"/>
      <c r="H2" s="2"/>
      <c r="I2" s="2"/>
      <c r="J2" s="3"/>
      <c r="K2" s="4"/>
      <c r="L2" s="5"/>
      <c r="M2" s="5"/>
      <c r="N2" s="5"/>
      <c r="O2" s="5"/>
      <c r="P2" s="5"/>
      <c r="Q2" s="5"/>
      <c r="R2" s="5"/>
      <c r="S2" s="5"/>
      <c r="T2" s="5"/>
      <c r="U2" s="5"/>
      <c r="V2" s="5"/>
      <c r="W2" s="5"/>
      <c r="X2" s="5"/>
      <c r="Y2" s="5"/>
      <c r="Z2" s="5"/>
      <c r="AA2" s="5"/>
      <c r="AB2" s="5"/>
    </row>
    <row r="3">
      <c r="A3" s="3"/>
      <c r="B3" s="2"/>
      <c r="C3" s="2"/>
      <c r="D3" s="2"/>
      <c r="E3" s="2"/>
      <c r="F3" s="2"/>
      <c r="G3" s="2"/>
      <c r="H3" s="2"/>
      <c r="I3" s="2"/>
      <c r="J3" s="3"/>
      <c r="K3" s="4"/>
      <c r="L3" s="5"/>
      <c r="M3" s="5"/>
      <c r="N3" s="5"/>
      <c r="O3" s="5"/>
      <c r="P3" s="5"/>
      <c r="Q3" s="5"/>
      <c r="R3" s="5"/>
      <c r="S3" s="5"/>
      <c r="T3" s="5"/>
      <c r="U3" s="5"/>
      <c r="V3" s="5"/>
      <c r="W3" s="5"/>
      <c r="X3" s="5"/>
      <c r="Y3" s="5"/>
      <c r="Z3" s="5"/>
      <c r="AA3" s="5"/>
      <c r="AB3" s="5"/>
    </row>
    <row r="4">
      <c r="A4" s="3"/>
      <c r="B4" s="3"/>
      <c r="C4" s="3"/>
      <c r="D4" s="3"/>
      <c r="E4" s="3"/>
      <c r="F4" s="3"/>
      <c r="G4" s="3"/>
      <c r="H4" s="3"/>
      <c r="I4" s="3"/>
      <c r="J4" s="3"/>
      <c r="K4" s="4"/>
      <c r="L4" s="5"/>
      <c r="M4" s="5"/>
      <c r="N4" s="5"/>
      <c r="O4" s="5"/>
      <c r="P4" s="5"/>
      <c r="Q4" s="5"/>
      <c r="R4" s="5"/>
      <c r="S4" s="5"/>
      <c r="T4" s="5"/>
      <c r="U4" s="5"/>
      <c r="V4" s="5"/>
      <c r="W4" s="5"/>
      <c r="X4" s="5"/>
      <c r="Y4" s="5"/>
      <c r="Z4" s="5"/>
      <c r="AA4" s="5"/>
      <c r="AB4" s="5"/>
    </row>
    <row r="5">
      <c r="A5" s="3"/>
      <c r="B5" s="7" t="s">
        <v>2</v>
      </c>
      <c r="C5" s="8"/>
      <c r="D5" s="9" t="s">
        <v>3</v>
      </c>
      <c r="E5" s="10"/>
      <c r="F5" s="10"/>
      <c r="G5" s="8"/>
      <c r="H5" s="11" t="s">
        <v>4</v>
      </c>
      <c r="I5" s="12" t="s">
        <v>5</v>
      </c>
      <c r="J5" s="3"/>
      <c r="R5" s="5"/>
      <c r="S5" s="5"/>
      <c r="T5" s="5"/>
      <c r="U5" s="5"/>
      <c r="V5" s="5"/>
      <c r="W5" s="5"/>
      <c r="X5" s="5"/>
      <c r="Y5" s="5"/>
      <c r="Z5" s="5"/>
      <c r="AA5" s="5"/>
      <c r="AB5" s="5"/>
    </row>
    <row r="6">
      <c r="A6" s="3"/>
      <c r="B6" s="7" t="s">
        <v>6</v>
      </c>
      <c r="C6" s="8"/>
      <c r="D6" s="13"/>
      <c r="E6" s="7" t="s">
        <v>7</v>
      </c>
      <c r="F6" s="8"/>
      <c r="G6" s="13"/>
      <c r="H6" s="11" t="s">
        <v>8</v>
      </c>
      <c r="I6" s="14" t="s">
        <v>9</v>
      </c>
      <c r="J6" s="3"/>
      <c r="R6" s="5"/>
      <c r="S6" s="5"/>
      <c r="T6" s="5"/>
      <c r="U6" s="5"/>
      <c r="V6" s="5"/>
      <c r="W6" s="5"/>
      <c r="X6" s="5"/>
      <c r="Y6" s="5"/>
      <c r="Z6" s="5"/>
      <c r="AA6" s="5"/>
      <c r="AB6" s="5"/>
    </row>
    <row r="7">
      <c r="A7" s="5"/>
      <c r="B7" s="5"/>
      <c r="C7" s="5"/>
      <c r="D7" s="5"/>
      <c r="E7" s="5"/>
      <c r="F7" s="5"/>
      <c r="G7" s="5"/>
      <c r="H7" s="5"/>
      <c r="I7" s="5"/>
      <c r="J7" s="5"/>
      <c r="R7" s="5"/>
      <c r="S7" s="5"/>
      <c r="T7" s="5"/>
      <c r="U7" s="5"/>
      <c r="V7" s="5"/>
      <c r="W7" s="5"/>
      <c r="X7" s="5"/>
      <c r="Y7" s="5"/>
      <c r="Z7" s="5"/>
      <c r="AA7" s="5"/>
      <c r="AB7" s="5"/>
    </row>
    <row r="8">
      <c r="A8" s="5"/>
      <c r="B8" s="15" t="s">
        <v>10</v>
      </c>
      <c r="C8" s="10"/>
      <c r="D8" s="10"/>
      <c r="E8" s="10"/>
      <c r="F8" s="10"/>
      <c r="G8" s="10"/>
      <c r="H8" s="10"/>
      <c r="I8" s="8"/>
      <c r="J8" s="5"/>
      <c r="R8" s="5"/>
      <c r="S8" s="5"/>
      <c r="T8" s="5"/>
      <c r="U8" s="5"/>
      <c r="V8" s="5"/>
      <c r="W8" s="5"/>
      <c r="X8" s="5"/>
      <c r="Y8" s="5"/>
      <c r="Z8" s="5"/>
      <c r="AA8" s="5"/>
      <c r="AB8" s="5"/>
    </row>
    <row r="9">
      <c r="A9" s="5"/>
      <c r="B9" s="16" t="s">
        <v>11</v>
      </c>
      <c r="C9" s="10"/>
      <c r="D9" s="10"/>
      <c r="E9" s="10"/>
      <c r="F9" s="10"/>
      <c r="G9" s="10"/>
      <c r="H9" s="10"/>
      <c r="I9" s="8"/>
      <c r="J9" s="5"/>
      <c r="R9" s="5"/>
      <c r="S9" s="5"/>
      <c r="T9" s="5"/>
      <c r="U9" s="5"/>
      <c r="V9" s="5"/>
      <c r="W9" s="5"/>
      <c r="X9" s="5"/>
      <c r="Y9" s="5"/>
      <c r="Z9" s="5"/>
      <c r="AA9" s="5"/>
      <c r="AB9" s="5"/>
    </row>
    <row r="10">
      <c r="A10" s="5"/>
      <c r="B10" s="5"/>
      <c r="C10" s="5"/>
      <c r="D10" s="5"/>
      <c r="E10" s="5"/>
      <c r="F10" s="5"/>
      <c r="G10" s="5"/>
      <c r="H10" s="5"/>
      <c r="I10" s="5"/>
      <c r="J10" s="5"/>
      <c r="K10" s="17"/>
      <c r="L10" s="5"/>
      <c r="M10" s="5"/>
      <c r="N10" s="5"/>
      <c r="O10" s="5"/>
      <c r="P10" s="5"/>
      <c r="Q10" s="5"/>
      <c r="R10" s="5"/>
      <c r="S10" s="5"/>
      <c r="T10" s="5"/>
      <c r="U10" s="5"/>
      <c r="V10" s="5"/>
      <c r="W10" s="5"/>
      <c r="X10" s="5"/>
      <c r="Y10" s="5"/>
      <c r="Z10" s="5"/>
      <c r="AA10" s="5"/>
      <c r="AB10" s="5"/>
    </row>
    <row r="11">
      <c r="A11" s="5"/>
      <c r="B11" s="15" t="s">
        <v>12</v>
      </c>
      <c r="C11" s="10"/>
      <c r="D11" s="10"/>
      <c r="E11" s="10"/>
      <c r="F11" s="10"/>
      <c r="G11" s="10"/>
      <c r="H11" s="10"/>
      <c r="I11" s="8"/>
      <c r="J11" s="5"/>
      <c r="K11" s="17"/>
      <c r="L11" s="5"/>
      <c r="M11" s="5"/>
      <c r="N11" s="5"/>
      <c r="O11" s="5"/>
      <c r="P11" s="5"/>
      <c r="Q11" s="5"/>
      <c r="R11" s="5"/>
      <c r="S11" s="5"/>
      <c r="T11" s="5"/>
      <c r="U11" s="5"/>
      <c r="V11" s="5"/>
      <c r="W11" s="5"/>
      <c r="X11" s="5"/>
      <c r="Y11" s="5"/>
      <c r="Z11" s="5"/>
      <c r="AA11" s="5"/>
      <c r="AB11" s="5"/>
    </row>
    <row r="12">
      <c r="A12" s="5"/>
      <c r="B12" s="18" t="s">
        <v>13</v>
      </c>
      <c r="C12" s="10"/>
      <c r="D12" s="10"/>
      <c r="E12" s="10"/>
      <c r="F12" s="10"/>
      <c r="G12" s="10"/>
      <c r="H12" s="10"/>
      <c r="I12" s="8"/>
      <c r="J12" s="5"/>
      <c r="K12" s="17"/>
      <c r="L12" s="5"/>
      <c r="M12" s="5"/>
      <c r="N12" s="5"/>
      <c r="O12" s="5"/>
      <c r="P12" s="5"/>
      <c r="Q12" s="5"/>
      <c r="R12" s="5"/>
      <c r="S12" s="5"/>
      <c r="T12" s="5"/>
      <c r="U12" s="5"/>
      <c r="V12" s="5"/>
      <c r="W12" s="5"/>
      <c r="X12" s="5"/>
      <c r="Y12" s="5"/>
      <c r="Z12" s="5"/>
      <c r="AA12" s="5"/>
      <c r="AB12" s="5"/>
    </row>
    <row r="13">
      <c r="A13" s="5"/>
      <c r="B13" s="19" t="s">
        <v>14</v>
      </c>
      <c r="C13" s="10"/>
      <c r="D13" s="10"/>
      <c r="E13" s="8"/>
      <c r="F13" s="5"/>
      <c r="G13" s="20" t="s">
        <v>15</v>
      </c>
      <c r="H13" s="10"/>
      <c r="I13" s="8"/>
      <c r="J13" s="5"/>
      <c r="K13" s="17"/>
      <c r="L13" s="5"/>
      <c r="M13" s="5"/>
      <c r="N13" s="5"/>
      <c r="O13" s="5"/>
      <c r="P13" s="5"/>
      <c r="Q13" s="5"/>
      <c r="R13" s="5"/>
      <c r="S13" s="5"/>
      <c r="T13" s="5"/>
      <c r="U13" s="5"/>
      <c r="V13" s="5"/>
      <c r="W13" s="5"/>
      <c r="X13" s="5"/>
      <c r="Y13" s="5"/>
      <c r="Z13" s="5"/>
      <c r="AA13" s="5"/>
      <c r="AB13" s="5"/>
    </row>
    <row r="14">
      <c r="A14" s="5"/>
      <c r="B14" s="19" t="s">
        <v>16</v>
      </c>
      <c r="C14" s="10"/>
      <c r="D14" s="10"/>
      <c r="E14" s="8"/>
      <c r="F14" s="5"/>
      <c r="G14" s="20" t="s">
        <v>17</v>
      </c>
      <c r="H14" s="10"/>
      <c r="I14" s="8"/>
      <c r="J14" s="5"/>
      <c r="K14" s="17"/>
      <c r="L14" s="5"/>
      <c r="M14" s="5"/>
      <c r="N14" s="5"/>
      <c r="O14" s="5"/>
      <c r="P14" s="5"/>
      <c r="Q14" s="5"/>
      <c r="R14" s="5"/>
      <c r="S14" s="5"/>
      <c r="T14" s="5"/>
      <c r="U14" s="5"/>
      <c r="V14" s="5"/>
      <c r="W14" s="5"/>
      <c r="X14" s="5"/>
      <c r="Y14" s="5"/>
      <c r="Z14" s="5"/>
      <c r="AA14" s="5"/>
      <c r="AB14" s="5"/>
    </row>
    <row r="15">
      <c r="A15" s="5"/>
      <c r="B15" s="19" t="s">
        <v>18</v>
      </c>
      <c r="C15" s="10"/>
      <c r="D15" s="10"/>
      <c r="E15" s="8"/>
      <c r="F15" s="5"/>
      <c r="G15" s="20" t="s">
        <v>19</v>
      </c>
      <c r="H15" s="10"/>
      <c r="I15" s="8"/>
      <c r="J15" s="5"/>
      <c r="K15" s="17"/>
      <c r="L15" s="5"/>
      <c r="M15" s="5"/>
      <c r="N15" s="5"/>
      <c r="O15" s="5"/>
      <c r="P15" s="5"/>
      <c r="Q15" s="5"/>
      <c r="R15" s="5"/>
      <c r="S15" s="5"/>
      <c r="T15" s="5"/>
      <c r="U15" s="5"/>
      <c r="V15" s="5"/>
      <c r="W15" s="5"/>
      <c r="X15" s="5"/>
      <c r="Y15" s="5"/>
      <c r="Z15" s="5"/>
      <c r="AA15" s="5"/>
      <c r="AB15" s="5"/>
    </row>
    <row r="16">
      <c r="A16" s="5"/>
      <c r="B16" s="19" t="s">
        <v>20</v>
      </c>
      <c r="C16" s="10"/>
      <c r="D16" s="10"/>
      <c r="E16" s="8"/>
      <c r="F16" s="5"/>
      <c r="G16" s="20" t="s">
        <v>21</v>
      </c>
      <c r="H16" s="10"/>
      <c r="I16" s="8"/>
      <c r="J16" s="5"/>
      <c r="K16" s="17"/>
      <c r="L16" s="5"/>
      <c r="M16" s="5"/>
      <c r="N16" s="5"/>
      <c r="O16" s="5"/>
      <c r="P16" s="5"/>
      <c r="Q16" s="5"/>
      <c r="R16" s="5"/>
      <c r="S16" s="5"/>
      <c r="T16" s="5"/>
      <c r="U16" s="5"/>
      <c r="V16" s="5"/>
      <c r="W16" s="5"/>
      <c r="X16" s="5"/>
      <c r="Y16" s="5"/>
      <c r="Z16" s="5"/>
      <c r="AA16" s="5"/>
      <c r="AB16" s="5"/>
    </row>
    <row r="17">
      <c r="A17" s="5"/>
      <c r="B17" s="19" t="s">
        <v>22</v>
      </c>
      <c r="C17" s="10"/>
      <c r="D17" s="10"/>
      <c r="E17" s="8"/>
      <c r="F17" s="5"/>
      <c r="G17" s="20" t="s">
        <v>23</v>
      </c>
      <c r="H17" s="10"/>
      <c r="I17" s="8"/>
      <c r="J17" s="5"/>
      <c r="K17" s="17"/>
      <c r="L17" s="5"/>
      <c r="M17" s="5"/>
      <c r="N17" s="5"/>
      <c r="O17" s="5"/>
      <c r="P17" s="5"/>
      <c r="Q17" s="5"/>
      <c r="R17" s="5"/>
      <c r="S17" s="5"/>
      <c r="T17" s="5"/>
      <c r="U17" s="5"/>
      <c r="V17" s="5"/>
      <c r="W17" s="5"/>
      <c r="X17" s="5"/>
      <c r="Y17" s="5"/>
      <c r="Z17" s="5"/>
      <c r="AA17" s="5"/>
      <c r="AB17" s="5"/>
    </row>
    <row r="18">
      <c r="A18" s="5"/>
      <c r="B18" s="19" t="s">
        <v>24</v>
      </c>
      <c r="C18" s="10"/>
      <c r="D18" s="10"/>
      <c r="E18" s="8"/>
      <c r="F18" s="5"/>
      <c r="G18" s="20" t="s">
        <v>25</v>
      </c>
      <c r="H18" s="10"/>
      <c r="I18" s="8"/>
      <c r="J18" s="5"/>
      <c r="K18" s="17"/>
      <c r="L18" s="5"/>
      <c r="M18" s="5"/>
      <c r="N18" s="5"/>
      <c r="O18" s="5"/>
      <c r="P18" s="5"/>
      <c r="Q18" s="5"/>
      <c r="R18" s="5"/>
      <c r="S18" s="5"/>
      <c r="T18" s="5"/>
      <c r="U18" s="5"/>
      <c r="V18" s="5"/>
      <c r="W18" s="5"/>
      <c r="X18" s="5"/>
      <c r="Y18" s="5"/>
      <c r="Z18" s="5"/>
      <c r="AA18" s="5"/>
      <c r="AB18" s="5"/>
    </row>
    <row r="19">
      <c r="A19" s="5"/>
      <c r="B19" s="19" t="s">
        <v>26</v>
      </c>
      <c r="C19" s="10"/>
      <c r="D19" s="10"/>
      <c r="E19" s="8"/>
      <c r="F19" s="5"/>
      <c r="G19" s="20" t="s">
        <v>27</v>
      </c>
      <c r="H19" s="10"/>
      <c r="I19" s="8"/>
      <c r="J19" s="5"/>
      <c r="K19" s="17"/>
      <c r="L19" s="5"/>
      <c r="M19" s="5"/>
      <c r="N19" s="5"/>
      <c r="O19" s="5"/>
      <c r="P19" s="5"/>
      <c r="Q19" s="5"/>
      <c r="R19" s="5"/>
      <c r="S19" s="5"/>
      <c r="T19" s="5"/>
      <c r="U19" s="5"/>
      <c r="V19" s="5"/>
      <c r="W19" s="5"/>
      <c r="X19" s="5"/>
      <c r="Y19" s="5"/>
      <c r="Z19" s="5"/>
      <c r="AA19" s="5"/>
      <c r="AB19" s="5"/>
    </row>
    <row r="20">
      <c r="A20" s="5"/>
      <c r="B20" s="17"/>
      <c r="C20" s="17"/>
      <c r="D20" s="17"/>
      <c r="E20" s="17"/>
      <c r="F20" s="17"/>
      <c r="G20" s="17"/>
      <c r="H20" s="17"/>
      <c r="I20" s="17"/>
      <c r="J20" s="5"/>
      <c r="K20" s="17"/>
      <c r="L20" s="5"/>
      <c r="M20" s="5"/>
      <c r="N20" s="5"/>
      <c r="O20" s="5"/>
      <c r="P20" s="5"/>
      <c r="Q20" s="5"/>
      <c r="R20" s="5"/>
      <c r="S20" s="5"/>
      <c r="T20" s="5"/>
      <c r="U20" s="5"/>
      <c r="V20" s="5"/>
      <c r="W20" s="5"/>
      <c r="X20" s="5"/>
      <c r="Y20" s="5"/>
      <c r="Z20" s="5"/>
      <c r="AA20" s="5"/>
      <c r="AB20" s="5"/>
    </row>
    <row r="21">
      <c r="A21" s="5"/>
      <c r="B21" s="17"/>
      <c r="C21" s="17"/>
      <c r="D21" s="17"/>
      <c r="E21" s="17"/>
      <c r="F21" s="17"/>
      <c r="G21" s="17"/>
      <c r="H21" s="17"/>
      <c r="I21" s="17"/>
      <c r="J21" s="5"/>
      <c r="K21" s="17"/>
      <c r="L21" s="5"/>
      <c r="M21" s="5"/>
      <c r="N21" s="5"/>
      <c r="O21" s="5"/>
      <c r="P21" s="5"/>
      <c r="Q21" s="5"/>
      <c r="R21" s="5"/>
      <c r="S21" s="5"/>
      <c r="T21" s="5"/>
      <c r="U21" s="5"/>
      <c r="V21" s="5"/>
      <c r="W21" s="5"/>
      <c r="X21" s="5"/>
      <c r="Y21" s="5"/>
      <c r="Z21" s="5"/>
      <c r="AA21" s="5"/>
      <c r="AB21" s="5"/>
    </row>
    <row r="22">
      <c r="A22" s="5"/>
      <c r="B22" s="17"/>
      <c r="J22" s="5"/>
      <c r="K22" s="17"/>
      <c r="L22" s="5"/>
      <c r="M22" s="5"/>
      <c r="N22" s="5"/>
      <c r="O22" s="5"/>
      <c r="P22" s="5"/>
      <c r="Q22" s="5"/>
      <c r="R22" s="5"/>
      <c r="S22" s="5"/>
      <c r="T22" s="5"/>
      <c r="U22" s="5"/>
      <c r="V22" s="5"/>
      <c r="W22" s="5"/>
      <c r="X22" s="5"/>
      <c r="Y22" s="5"/>
      <c r="Z22" s="5"/>
      <c r="AA22" s="5"/>
      <c r="AB22" s="5"/>
    </row>
    <row r="23">
      <c r="A23" s="5"/>
      <c r="B23" s="17"/>
      <c r="J23" s="5"/>
      <c r="K23" s="17"/>
      <c r="L23" s="5"/>
      <c r="M23" s="5"/>
      <c r="N23" s="5"/>
      <c r="O23" s="5"/>
      <c r="P23" s="5"/>
      <c r="Q23" s="5"/>
      <c r="R23" s="5"/>
      <c r="S23" s="5"/>
      <c r="T23" s="5"/>
      <c r="U23" s="5"/>
      <c r="V23" s="5"/>
      <c r="W23" s="5"/>
      <c r="X23" s="5"/>
      <c r="Y23" s="5"/>
      <c r="Z23" s="5"/>
      <c r="AA23" s="5"/>
      <c r="AB23" s="5"/>
    </row>
    <row r="24">
      <c r="A24" s="5"/>
      <c r="B24" s="17"/>
      <c r="J24" s="5"/>
      <c r="K24" s="17"/>
      <c r="L24" s="5"/>
      <c r="M24" s="5"/>
      <c r="N24" s="5"/>
      <c r="O24" s="5"/>
      <c r="P24" s="5"/>
      <c r="Q24" s="5"/>
      <c r="R24" s="5"/>
      <c r="S24" s="5"/>
      <c r="T24" s="5"/>
      <c r="U24" s="5"/>
      <c r="V24" s="5"/>
      <c r="W24" s="5"/>
      <c r="X24" s="5"/>
      <c r="Y24" s="5"/>
      <c r="Z24" s="5"/>
      <c r="AA24" s="5"/>
      <c r="AB24" s="5"/>
    </row>
    <row r="25">
      <c r="A25" s="5"/>
      <c r="B25" s="17"/>
      <c r="J25" s="5"/>
      <c r="K25" s="17"/>
      <c r="L25" s="5"/>
      <c r="M25" s="5"/>
      <c r="N25" s="5"/>
      <c r="O25" s="5"/>
      <c r="P25" s="5"/>
      <c r="Q25" s="5"/>
      <c r="R25" s="5"/>
      <c r="S25" s="5"/>
      <c r="T25" s="5"/>
      <c r="U25" s="5"/>
      <c r="V25" s="5"/>
      <c r="W25" s="5"/>
      <c r="X25" s="5"/>
      <c r="Y25" s="5"/>
      <c r="Z25" s="5"/>
      <c r="AA25" s="5"/>
      <c r="AB25" s="5"/>
    </row>
    <row r="26">
      <c r="A26" s="5"/>
      <c r="B26" s="17"/>
      <c r="J26" s="5"/>
      <c r="K26" s="17"/>
      <c r="L26" s="5"/>
      <c r="M26" s="5"/>
      <c r="N26" s="5"/>
      <c r="O26" s="5"/>
      <c r="P26" s="5"/>
      <c r="Q26" s="5"/>
      <c r="R26" s="5"/>
      <c r="S26" s="5"/>
      <c r="T26" s="5"/>
      <c r="U26" s="5"/>
      <c r="V26" s="5"/>
      <c r="W26" s="5"/>
      <c r="X26" s="5"/>
      <c r="Y26" s="5"/>
      <c r="Z26" s="5"/>
      <c r="AA26" s="5"/>
      <c r="AB26" s="5"/>
    </row>
    <row r="27">
      <c r="A27" s="5"/>
      <c r="B27" s="17"/>
      <c r="C27" s="17"/>
      <c r="D27" s="17"/>
      <c r="E27" s="17"/>
      <c r="F27" s="17"/>
      <c r="G27" s="17"/>
      <c r="H27" s="17"/>
      <c r="I27" s="17"/>
      <c r="J27" s="5"/>
      <c r="K27" s="17"/>
      <c r="L27" s="5"/>
      <c r="M27" s="5"/>
      <c r="N27" s="5"/>
      <c r="O27" s="5"/>
      <c r="P27" s="5"/>
      <c r="Q27" s="5"/>
      <c r="R27" s="5"/>
      <c r="S27" s="5"/>
      <c r="T27" s="5"/>
      <c r="U27" s="5"/>
      <c r="V27" s="5"/>
      <c r="W27" s="5"/>
      <c r="X27" s="5"/>
      <c r="Y27" s="5"/>
      <c r="Z27" s="5"/>
      <c r="AA27" s="5"/>
      <c r="AB27" s="5"/>
    </row>
    <row r="28">
      <c r="A28" s="5"/>
      <c r="B28" s="17"/>
      <c r="C28" s="17"/>
      <c r="D28" s="17"/>
      <c r="E28" s="17"/>
      <c r="F28" s="17"/>
      <c r="G28" s="17"/>
      <c r="H28" s="17"/>
      <c r="I28" s="17"/>
      <c r="J28" s="5"/>
      <c r="K28" s="17"/>
      <c r="L28" s="5"/>
      <c r="M28" s="5"/>
      <c r="N28" s="5"/>
      <c r="O28" s="5"/>
      <c r="P28" s="5"/>
      <c r="Q28" s="5"/>
      <c r="R28" s="5"/>
      <c r="S28" s="5"/>
      <c r="T28" s="5"/>
      <c r="U28" s="5"/>
      <c r="V28" s="5"/>
      <c r="W28" s="5"/>
      <c r="X28" s="5"/>
      <c r="Y28" s="5"/>
      <c r="Z28" s="5"/>
      <c r="AA28" s="5"/>
      <c r="AB28" s="5"/>
    </row>
    <row r="29">
      <c r="A29" s="5"/>
      <c r="B29" s="17"/>
      <c r="C29" s="17"/>
      <c r="D29" s="17"/>
      <c r="E29" s="17"/>
      <c r="F29" s="17"/>
      <c r="G29" s="17"/>
      <c r="H29" s="17"/>
      <c r="I29" s="17"/>
      <c r="J29" s="5"/>
      <c r="K29" s="17"/>
      <c r="L29" s="5"/>
      <c r="M29" s="5"/>
      <c r="N29" s="5"/>
      <c r="O29" s="5"/>
      <c r="P29" s="5"/>
      <c r="Q29" s="5"/>
      <c r="R29" s="5"/>
      <c r="S29" s="5"/>
      <c r="T29" s="5"/>
      <c r="U29" s="5"/>
      <c r="V29" s="5"/>
      <c r="W29" s="5"/>
      <c r="X29" s="5"/>
      <c r="Y29" s="5"/>
      <c r="Z29" s="5"/>
      <c r="AA29" s="5"/>
      <c r="AB29" s="5"/>
    </row>
    <row r="30">
      <c r="A30" s="5"/>
      <c r="B30" s="17"/>
      <c r="C30" s="17"/>
      <c r="D30" s="17"/>
      <c r="E30" s="17"/>
      <c r="F30" s="17"/>
      <c r="G30" s="17"/>
      <c r="H30" s="17"/>
      <c r="I30" s="17"/>
      <c r="J30" s="5"/>
      <c r="K30" s="17"/>
      <c r="L30" s="5"/>
      <c r="M30" s="5"/>
      <c r="N30" s="5"/>
      <c r="O30" s="5"/>
      <c r="P30" s="5"/>
      <c r="Q30" s="5"/>
      <c r="R30" s="5"/>
      <c r="S30" s="5"/>
      <c r="T30" s="5"/>
      <c r="U30" s="5"/>
      <c r="V30" s="5"/>
      <c r="W30" s="5"/>
      <c r="X30" s="5"/>
      <c r="Y30" s="5"/>
      <c r="Z30" s="5"/>
      <c r="AA30" s="5"/>
      <c r="AB30" s="5"/>
    </row>
    <row r="31">
      <c r="A31" s="5"/>
      <c r="B31" s="17"/>
      <c r="C31" s="17"/>
      <c r="D31" s="17"/>
      <c r="E31" s="17"/>
      <c r="F31" s="17"/>
      <c r="G31" s="17"/>
      <c r="H31" s="17"/>
      <c r="I31" s="17"/>
      <c r="J31" s="5"/>
      <c r="K31" s="17"/>
      <c r="L31" s="5"/>
      <c r="M31" s="5"/>
      <c r="N31" s="5"/>
      <c r="O31" s="5"/>
      <c r="P31" s="5"/>
      <c r="Q31" s="5"/>
      <c r="R31" s="5"/>
      <c r="S31" s="5"/>
      <c r="T31" s="5"/>
      <c r="U31" s="5"/>
      <c r="V31" s="5"/>
      <c r="W31" s="5"/>
      <c r="X31" s="5"/>
      <c r="Y31" s="5"/>
      <c r="Z31" s="5"/>
      <c r="AA31" s="5"/>
      <c r="AB31" s="5"/>
    </row>
    <row r="32">
      <c r="A32" s="5"/>
      <c r="B32" s="17"/>
      <c r="C32" s="17"/>
      <c r="D32" s="17"/>
      <c r="E32" s="17"/>
      <c r="F32" s="17"/>
      <c r="G32" s="17"/>
      <c r="H32" s="17"/>
      <c r="I32" s="17"/>
      <c r="J32" s="5"/>
      <c r="K32" s="17"/>
      <c r="L32" s="5"/>
      <c r="M32" s="5"/>
      <c r="N32" s="5"/>
      <c r="O32" s="5"/>
      <c r="P32" s="5"/>
      <c r="Q32" s="5"/>
      <c r="R32" s="5"/>
      <c r="S32" s="5"/>
      <c r="T32" s="5"/>
      <c r="U32" s="5"/>
      <c r="V32" s="5"/>
      <c r="W32" s="5"/>
      <c r="X32" s="5"/>
      <c r="Y32" s="5"/>
      <c r="Z32" s="5"/>
      <c r="AA32" s="5"/>
      <c r="AB32" s="5"/>
    </row>
    <row r="33">
      <c r="A33" s="5"/>
      <c r="B33" s="5"/>
      <c r="C33" s="5"/>
      <c r="D33" s="5"/>
      <c r="E33" s="5"/>
      <c r="F33" s="5"/>
      <c r="G33" s="5"/>
      <c r="H33" s="5"/>
      <c r="I33" s="5"/>
      <c r="J33" s="5"/>
      <c r="K33" s="17"/>
      <c r="L33" s="5"/>
      <c r="M33" s="5"/>
      <c r="N33" s="5"/>
      <c r="O33" s="5"/>
      <c r="P33" s="5"/>
      <c r="Q33" s="5"/>
      <c r="R33" s="5"/>
      <c r="S33" s="5"/>
      <c r="T33" s="5"/>
      <c r="U33" s="5"/>
      <c r="V33" s="5"/>
      <c r="W33" s="5"/>
      <c r="X33" s="5"/>
      <c r="Y33" s="5"/>
      <c r="Z33" s="5"/>
      <c r="AA33" s="5"/>
      <c r="AB33" s="5"/>
    </row>
    <row r="34">
      <c r="A34" s="5"/>
      <c r="B34" s="5"/>
      <c r="C34" s="5"/>
      <c r="D34" s="5"/>
      <c r="E34" s="5"/>
      <c r="F34" s="5"/>
      <c r="G34" s="5"/>
      <c r="H34" s="5"/>
      <c r="I34" s="5"/>
      <c r="J34" s="5"/>
      <c r="K34" s="17"/>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5"/>
      <c r="K35" s="17"/>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5"/>
      <c r="K36" s="17"/>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5"/>
      <c r="K37" s="17"/>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17"/>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17"/>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17"/>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17"/>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17"/>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17"/>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17"/>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17"/>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17"/>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17"/>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17"/>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5"/>
      <c r="K49" s="17"/>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17"/>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17"/>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17"/>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17"/>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17"/>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17"/>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17"/>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17"/>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17"/>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17"/>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17"/>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17"/>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17"/>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17"/>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17"/>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17"/>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17"/>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17"/>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17"/>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17"/>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17"/>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17"/>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17"/>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17"/>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17"/>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17"/>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17"/>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17"/>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17"/>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17"/>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17"/>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17"/>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17"/>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17"/>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17"/>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17"/>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17"/>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17"/>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17"/>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17"/>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17"/>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17"/>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17"/>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17"/>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17"/>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17"/>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17"/>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17"/>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17"/>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17"/>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17"/>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17"/>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17"/>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17"/>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17"/>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17"/>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17"/>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17"/>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17"/>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17"/>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17"/>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17"/>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17"/>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17"/>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17"/>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17"/>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17"/>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17"/>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17"/>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17"/>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17"/>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17"/>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17"/>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17"/>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17"/>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17"/>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17"/>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17"/>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17"/>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17"/>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17"/>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17"/>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17"/>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17"/>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17"/>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17"/>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17"/>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17"/>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17"/>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17"/>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17"/>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17"/>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17"/>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17"/>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17"/>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17"/>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17"/>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17"/>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17"/>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17"/>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17"/>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17"/>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17"/>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17"/>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17"/>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17"/>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17"/>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17"/>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17"/>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17"/>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17"/>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17"/>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17"/>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17"/>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17"/>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17"/>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17"/>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17"/>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17"/>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17"/>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17"/>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17"/>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17"/>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17"/>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17"/>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17"/>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17"/>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17"/>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17"/>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17"/>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17"/>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17"/>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17"/>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17"/>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17"/>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17"/>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17"/>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17"/>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17"/>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17"/>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17"/>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17"/>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17"/>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17"/>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17"/>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17"/>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17"/>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17"/>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17"/>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17"/>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17"/>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17"/>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17"/>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17"/>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17"/>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17"/>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17"/>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17"/>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17"/>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17"/>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17"/>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17"/>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17"/>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17"/>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17"/>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17"/>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17"/>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17"/>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17"/>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17"/>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17"/>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17"/>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sheetData>
  <mergeCells count="22">
    <mergeCell ref="B5:C5"/>
    <mergeCell ref="D5:G5"/>
    <mergeCell ref="B6:C6"/>
    <mergeCell ref="E6:F6"/>
    <mergeCell ref="B8:I8"/>
    <mergeCell ref="B9:I9"/>
    <mergeCell ref="B11:I11"/>
    <mergeCell ref="G15:I15"/>
    <mergeCell ref="G16:I16"/>
    <mergeCell ref="B17:E17"/>
    <mergeCell ref="G17:I17"/>
    <mergeCell ref="B18:E18"/>
    <mergeCell ref="G18:I18"/>
    <mergeCell ref="B19:E19"/>
    <mergeCell ref="G19:I19"/>
    <mergeCell ref="B12:I12"/>
    <mergeCell ref="B13:E13"/>
    <mergeCell ref="G13:I13"/>
    <mergeCell ref="B14:E14"/>
    <mergeCell ref="G14:I14"/>
    <mergeCell ref="B15:E15"/>
    <mergeCell ref="B16:E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75"/>
  <cols>
    <col customWidth="1" min="1" max="1" width="26.63"/>
    <col customWidth="1" min="2" max="2" width="19.5"/>
    <col customWidth="1" min="5" max="5" width="11.75"/>
    <col customWidth="1" min="10" max="10" width="13.13"/>
  </cols>
  <sheetData>
    <row r="1">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row>
    <row r="2">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row>
    <row r="3">
      <c r="A3" s="22" t="s">
        <v>28</v>
      </c>
      <c r="B3" s="22" t="s">
        <v>24</v>
      </c>
      <c r="C3" s="22" t="s">
        <v>29</v>
      </c>
      <c r="D3" s="23" t="s">
        <v>30</v>
      </c>
      <c r="E3" s="23" t="s">
        <v>31</v>
      </c>
      <c r="F3" s="23" t="s">
        <v>32</v>
      </c>
      <c r="G3" s="23" t="s">
        <v>33</v>
      </c>
      <c r="H3" s="23" t="s">
        <v>34</v>
      </c>
      <c r="I3" s="23" t="s">
        <v>35</v>
      </c>
      <c r="J3" s="23" t="s">
        <v>36</v>
      </c>
      <c r="K3" s="23" t="s">
        <v>37</v>
      </c>
      <c r="L3" s="23" t="s">
        <v>38</v>
      </c>
      <c r="M3" s="23" t="s">
        <v>39</v>
      </c>
      <c r="N3" s="23" t="s">
        <v>40</v>
      </c>
      <c r="O3" s="23" t="s">
        <v>41</v>
      </c>
      <c r="P3" s="23" t="s">
        <v>42</v>
      </c>
      <c r="Q3" s="23" t="s">
        <v>43</v>
      </c>
      <c r="R3" s="23" t="s">
        <v>44</v>
      </c>
      <c r="S3" s="23" t="s">
        <v>45</v>
      </c>
      <c r="T3" s="23" t="s">
        <v>46</v>
      </c>
      <c r="U3" s="24" t="s">
        <v>47</v>
      </c>
      <c r="V3" s="23" t="s">
        <v>48</v>
      </c>
      <c r="W3" s="23" t="s">
        <v>49</v>
      </c>
      <c r="X3" s="21"/>
      <c r="Y3" s="21"/>
      <c r="Z3" s="21"/>
      <c r="AA3" s="21"/>
      <c r="AB3" s="21"/>
      <c r="AC3" s="21"/>
      <c r="AD3" s="21"/>
      <c r="AE3" s="21"/>
      <c r="AF3" s="21"/>
      <c r="AG3" s="21"/>
      <c r="AH3" s="21"/>
      <c r="AI3" s="21"/>
      <c r="AJ3" s="21"/>
      <c r="AK3" s="21"/>
      <c r="AL3" s="21"/>
      <c r="AM3" s="21"/>
      <c r="AN3" s="21"/>
      <c r="AO3" s="21"/>
      <c r="AP3" s="21"/>
    </row>
    <row r="4">
      <c r="A4" s="25">
        <f>Sum(D4:T6)</f>
        <v>404</v>
      </c>
      <c r="B4" s="26" t="s">
        <v>50</v>
      </c>
      <c r="C4" s="27">
        <f t="shared" ref="C4:C7" si="1">SUM(D4:T4)</f>
        <v>366</v>
      </c>
      <c r="D4" s="28">
        <f>COUNTIF('PG-US-01'!F:F, "OPEN")</f>
        <v>0</v>
      </c>
      <c r="E4" s="28">
        <f>COUNTIF('PG-US-02'!F:F, "OPEN")</f>
        <v>0</v>
      </c>
      <c r="F4" s="28">
        <f>COUNTIF('PG-US-03'!F:F, "OPEN")</f>
        <v>0</v>
      </c>
      <c r="G4" s="28">
        <f>COUNTIF('PG-US-04'!F:F, "OPEN")</f>
        <v>0</v>
      </c>
      <c r="H4" s="28">
        <f>COUNTIF('PG-US-05'!F:F, "OPEN")</f>
        <v>19</v>
      </c>
      <c r="I4" s="28">
        <f>COUNTIF('PG-US-06'!F:F, "OPEN")</f>
        <v>16</v>
      </c>
      <c r="J4" s="28">
        <f>COUNTIF('PG-US-07'!F:F, "OPEN")</f>
        <v>16</v>
      </c>
      <c r="K4" s="28">
        <f>COUNTIF('PG-US-08'!F:F, "OPEN")</f>
        <v>16</v>
      </c>
      <c r="L4" s="28">
        <f>COUNTIF('PG-US-09'!F:F, "OPEN")</f>
        <v>16</v>
      </c>
      <c r="M4" s="28">
        <f>COUNTIF('PG-US-10'!F:F, "OPEN")</f>
        <v>0</v>
      </c>
      <c r="N4" s="28">
        <f>COUNTIF('PG-US-11'!F:F, "OPEN")</f>
        <v>9</v>
      </c>
      <c r="O4" s="28">
        <f>COUNTIF('PG-US-12'!F:F, "OPEN")</f>
        <v>63</v>
      </c>
      <c r="P4" s="28">
        <f>COUNTIF('PG-US-13'!F:F, "OPEN")</f>
        <v>72</v>
      </c>
      <c r="Q4" s="28">
        <f>COUNTIF('PG-US-14'!F:F, "OPEN")</f>
        <v>55</v>
      </c>
      <c r="R4" s="28">
        <f>COUNTIF('PG-US-15'!F:F, "OPEN")</f>
        <v>13</v>
      </c>
      <c r="S4" s="28">
        <f>COUNTIF('PG-US-16'!F:F, "OPEN")</f>
        <v>3</v>
      </c>
      <c r="T4" s="28">
        <f>COUNTIF('PG-US-17'!$F:$F, "OPEN")</f>
        <v>68</v>
      </c>
      <c r="U4" s="28">
        <f>COUNTIF('AO-US-01'!$F:$F, "OPEN")</f>
        <v>3</v>
      </c>
      <c r="V4" s="28">
        <f>COUNTIF('AO-US-02'!$F:$F, "OPEN")</f>
        <v>105</v>
      </c>
      <c r="W4" s="28">
        <f>COUNTIF('AO-US-03'!$F:$F, "OPEN")</f>
        <v>22</v>
      </c>
      <c r="X4" s="21"/>
      <c r="Y4" s="21"/>
      <c r="Z4" s="21"/>
      <c r="AA4" s="21"/>
      <c r="AB4" s="21"/>
      <c r="AC4" s="21"/>
      <c r="AD4" s="21"/>
      <c r="AE4" s="21"/>
      <c r="AF4" s="21"/>
      <c r="AG4" s="21"/>
      <c r="AH4" s="21"/>
      <c r="AI4" s="21"/>
      <c r="AJ4" s="21"/>
      <c r="AK4" s="21"/>
      <c r="AL4" s="21"/>
      <c r="AM4" s="21"/>
      <c r="AN4" s="21"/>
      <c r="AO4" s="21"/>
      <c r="AP4" s="21"/>
    </row>
    <row r="5">
      <c r="A5" s="29"/>
      <c r="B5" s="30" t="s">
        <v>51</v>
      </c>
      <c r="C5" s="27">
        <f t="shared" si="1"/>
        <v>37</v>
      </c>
      <c r="D5" s="28">
        <f>COUNTIF('PG-US-01'!F:F, "FAILED")</f>
        <v>5</v>
      </c>
      <c r="E5" s="28">
        <f>COUNTIF('PG-US-02'!F:F, "FAILED")</f>
        <v>2</v>
      </c>
      <c r="F5" s="28">
        <f>COUNTIF('PG-US-03'!F:F, "FAILED")</f>
        <v>0</v>
      </c>
      <c r="G5" s="28">
        <f>COUNTIF('PG-US-04'!F:F, "FAILED")</f>
        <v>0</v>
      </c>
      <c r="H5" s="28">
        <f>COUNTIF('PG-US-05'!F:F, "FAILED")</f>
        <v>1</v>
      </c>
      <c r="I5" s="28">
        <f>COUNTIF('PG-US-06'!F:F, "FAILED")</f>
        <v>1</v>
      </c>
      <c r="J5" s="28">
        <f>COUNTIF('PG-US-07'!F:F, "FAILED")</f>
        <v>2</v>
      </c>
      <c r="K5" s="28">
        <f>COUNTIF('PG-US-08'!F:F, "FAILED")</f>
        <v>2</v>
      </c>
      <c r="L5" s="28">
        <f>COUNTIF('PG-US-09'!F:F, "FAILED")</f>
        <v>2</v>
      </c>
      <c r="M5" s="28">
        <f>COUNTIF('PG-US-10'!F:F, "FAILED")</f>
        <v>14</v>
      </c>
      <c r="N5" s="28">
        <f>COUNTIF('PG-US-11'!F:F, "FAILED")</f>
        <v>7</v>
      </c>
      <c r="O5" s="28">
        <f>COUNTIF('PG-US-12'!F:F, "FAILED")</f>
        <v>0</v>
      </c>
      <c r="P5" s="28">
        <f>COUNTIF('PG-US-13'!F:F, "FAILED")</f>
        <v>0</v>
      </c>
      <c r="Q5" s="28">
        <f>COUNTIF('PG-US-14'!F:F, "FAILED")</f>
        <v>0</v>
      </c>
      <c r="R5" s="28">
        <f>COUNTIF('PG-US-15'!F:F, "FAILED")</f>
        <v>1</v>
      </c>
      <c r="S5" s="28">
        <f>COUNTIF('PG-US-16'!F:F, "FAILED")</f>
        <v>0</v>
      </c>
      <c r="T5" s="28">
        <f>COUNTIF('PG-US-17'!$F:$F, "FAILED")</f>
        <v>0</v>
      </c>
      <c r="U5" s="28">
        <f>COUNTIF('AO-US-01'!$F:$F, "FAILED")</f>
        <v>1</v>
      </c>
      <c r="V5" s="28">
        <f>COUNTIF('AO-US-02'!$F:$F, "FAILED")</f>
        <v>17</v>
      </c>
      <c r="W5" s="28">
        <f>COUNTIF('AO-US-03'!$F:$F, "FAILED")</f>
        <v>1</v>
      </c>
      <c r="X5" s="21"/>
      <c r="Y5" s="21"/>
      <c r="Z5" s="21"/>
      <c r="AA5" s="21"/>
      <c r="AB5" s="21"/>
      <c r="AC5" s="21"/>
      <c r="AD5" s="21"/>
      <c r="AE5" s="21"/>
      <c r="AF5" s="21"/>
      <c r="AG5" s="21"/>
      <c r="AH5" s="21"/>
      <c r="AI5" s="21"/>
      <c r="AJ5" s="21"/>
      <c r="AK5" s="21"/>
      <c r="AL5" s="21"/>
      <c r="AM5" s="21"/>
      <c r="AN5" s="21"/>
      <c r="AO5" s="21"/>
      <c r="AP5" s="21"/>
    </row>
    <row r="6">
      <c r="A6" s="29"/>
      <c r="B6" s="31" t="s">
        <v>52</v>
      </c>
      <c r="C6" s="27">
        <f t="shared" si="1"/>
        <v>1</v>
      </c>
      <c r="D6" s="28">
        <f>COUNTIF('PG-US-01'!F:F, "BLOCKED")</f>
        <v>0</v>
      </c>
      <c r="E6" s="28">
        <f>COUNTIF('PG-US-02'!F:F, "BLOCKED")</f>
        <v>1</v>
      </c>
      <c r="F6" s="28">
        <f>COUNTIF('PG-US-03'!F:F, "BLOCKED")</f>
        <v>0</v>
      </c>
      <c r="G6" s="28">
        <f>COUNTIF('PG-US-04'!F:F, "BLOCKED")</f>
        <v>0</v>
      </c>
      <c r="H6" s="28">
        <f>COUNTIF('PG-US-05'!F:F, "BLOCKED")</f>
        <v>0</v>
      </c>
      <c r="I6" s="28">
        <f>COUNTIF('PG-US-06'!F:F, "BLOCKED")</f>
        <v>0</v>
      </c>
      <c r="J6" s="28">
        <f>COUNTIF('PG-US-07'!F:F, "BLOCKED")</f>
        <v>0</v>
      </c>
      <c r="K6" s="28">
        <f>COUNTIF('PG-US-08'!F:F, "BLOCKED")</f>
        <v>0</v>
      </c>
      <c r="L6" s="28">
        <f>COUNTIF('PG-US-09'!F:F, "BLOCKED")</f>
        <v>0</v>
      </c>
      <c r="M6" s="28">
        <f>COUNTIF('PG-US-10'!F:F, "BLOCKED")</f>
        <v>0</v>
      </c>
      <c r="N6" s="28">
        <f>COUNTIF('PG-US-11'!F:F, "BLOCKED")</f>
        <v>0</v>
      </c>
      <c r="O6" s="28">
        <f>COUNTIF('PG-US-12'!F:F, "BLOCKED")</f>
        <v>0</v>
      </c>
      <c r="P6" s="28">
        <f>COUNTIF('PG-US-13'!F:F, "BLOCKED")</f>
        <v>0</v>
      </c>
      <c r="Q6" s="28">
        <f>COUNTIF('PG-US-14'!F:F, "BLOCKED")</f>
        <v>0</v>
      </c>
      <c r="R6" s="28">
        <f>COUNTIF('PG-US-15'!F:F, "BLOCKED")</f>
        <v>0</v>
      </c>
      <c r="S6" s="28">
        <f>COUNTIF('PG-US-16'!F:F, "BLOCKED")</f>
        <v>0</v>
      </c>
      <c r="T6" s="28">
        <f>COUNTIF('PG-US-17'!$F:$F, "BLOCKED")</f>
        <v>0</v>
      </c>
      <c r="U6" s="28">
        <f>COUNTIF('AO-US-01'!$F:$F, "BLOCKED")</f>
        <v>0</v>
      </c>
      <c r="V6" s="28">
        <f>COUNTIF('AO-US-02'!$F:$F, "BLOCKED")</f>
        <v>0</v>
      </c>
      <c r="W6" s="28">
        <f>COUNTIF('AO-US-03'!$F:$F, "BLOCKED")</f>
        <v>0</v>
      </c>
      <c r="X6" s="21"/>
      <c r="Y6" s="21"/>
      <c r="Z6" s="21"/>
      <c r="AA6" s="21"/>
      <c r="AB6" s="21"/>
      <c r="AC6" s="21"/>
      <c r="AD6" s="21"/>
      <c r="AE6" s="21"/>
      <c r="AF6" s="21"/>
      <c r="AG6" s="21"/>
      <c r="AH6" s="21"/>
      <c r="AI6" s="21"/>
      <c r="AJ6" s="21"/>
      <c r="AK6" s="21"/>
      <c r="AL6" s="21"/>
      <c r="AM6" s="21"/>
      <c r="AN6" s="21"/>
      <c r="AO6" s="21"/>
      <c r="AP6" s="21"/>
    </row>
    <row r="7">
      <c r="A7" s="32"/>
      <c r="B7" s="33" t="s">
        <v>53</v>
      </c>
      <c r="C7" s="27">
        <f t="shared" si="1"/>
        <v>378</v>
      </c>
      <c r="D7" s="28">
        <f>COUNTIF('PG-US-01'!F:F, "PASSED")</f>
        <v>10</v>
      </c>
      <c r="E7" s="28">
        <f>COUNTIF('PG-US-02'!F:F, "PASSED")</f>
        <v>12</v>
      </c>
      <c r="F7" s="28">
        <f>COUNTIF('PG-US-03'!F:F, "PASSED")</f>
        <v>7</v>
      </c>
      <c r="G7" s="28">
        <f>COUNTIF('PG-US-04'!F:F, "PASSED")</f>
        <v>9</v>
      </c>
      <c r="H7" s="28">
        <f>COUNTIF('PG-US-05'!F:F, "PASSED")</f>
        <v>39</v>
      </c>
      <c r="I7" s="28">
        <f>COUNTIF('PG-US-06'!F:F, "PASSED")</f>
        <v>44</v>
      </c>
      <c r="J7" s="28">
        <f>COUNTIF('PG-US-07'!F:F, "PASSED")</f>
        <v>51</v>
      </c>
      <c r="K7" s="28">
        <f>COUNTIF('PG-US-08'!F:F, "PASSED")</f>
        <v>59</v>
      </c>
      <c r="L7" s="28">
        <f>COUNTIF('PG-US-09'!F:F, "PASSED")</f>
        <v>30</v>
      </c>
      <c r="M7" s="28">
        <f>COUNTIF('PG-US-10'!F:F, "PASSED")</f>
        <v>47</v>
      </c>
      <c r="N7" s="28">
        <f>COUNTIF('PG-US-11'!F:F, "PASSED")</f>
        <v>48</v>
      </c>
      <c r="O7" s="28">
        <f>COUNTIF('PG-US-12'!F:F, "PASSED")</f>
        <v>0</v>
      </c>
      <c r="P7" s="28">
        <f>COUNTIF('PG-US-13'!F:F, "PASSED")</f>
        <v>0</v>
      </c>
      <c r="Q7" s="28">
        <f>COUNTIF('PG-US-14'!F:F, "PASSED")</f>
        <v>16</v>
      </c>
      <c r="R7" s="28">
        <f>COUNTIF('PG-US-15'!F:F, "PASSED")</f>
        <v>5</v>
      </c>
      <c r="S7" s="28">
        <f>COUNTIF('PG-US-16'!F:F, "PASSED")</f>
        <v>1</v>
      </c>
      <c r="T7" s="28">
        <f>COUNTIF('PG-US-17'!$F:$F, "PASSED")</f>
        <v>0</v>
      </c>
      <c r="U7" s="28">
        <f>COUNTIF('AO-US-01'!$F:$F, "PASSED")</f>
        <v>82</v>
      </c>
      <c r="V7" s="28">
        <f>COUNTIF('AO-US-02'!$F:$F, "PASSED")</f>
        <v>49</v>
      </c>
      <c r="W7" s="28">
        <f>COUNTIF('AO-US-03'!$F:$F, "PASSED")</f>
        <v>6</v>
      </c>
      <c r="X7" s="21"/>
      <c r="Y7" s="21"/>
      <c r="Z7" s="21"/>
      <c r="AA7" s="21"/>
      <c r="AB7" s="21"/>
      <c r="AC7" s="21"/>
      <c r="AD7" s="21"/>
      <c r="AE7" s="21"/>
      <c r="AF7" s="21"/>
      <c r="AG7" s="21"/>
      <c r="AH7" s="21"/>
      <c r="AI7" s="21"/>
      <c r="AJ7" s="21"/>
      <c r="AK7" s="21"/>
      <c r="AL7" s="21"/>
      <c r="AM7" s="21"/>
      <c r="AN7" s="21"/>
      <c r="AO7" s="21"/>
      <c r="AP7" s="21"/>
    </row>
    <row r="8">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row>
    <row r="9">
      <c r="A9" s="21"/>
      <c r="B9" s="21"/>
      <c r="C9" s="34" t="str">
        <f>'PG-US-01'!$A$1</f>
        <v>PG-US-01</v>
      </c>
      <c r="D9" s="8"/>
      <c r="E9" s="34" t="str">
        <f>'PG-US-02'!$A$1</f>
        <v>PG-US-02</v>
      </c>
      <c r="F9" s="8"/>
      <c r="G9" s="34" t="str">
        <f>'PG-US-03'!$A$1</f>
        <v>PG-US-03</v>
      </c>
      <c r="H9" s="8"/>
      <c r="I9" s="34" t="str">
        <f>'PG-US-04'!$A$1</f>
        <v>PG-US-04</v>
      </c>
      <c r="J9" s="8"/>
      <c r="K9" s="34" t="str">
        <f>'PG-US-05'!$A$1</f>
        <v>PG-US-05</v>
      </c>
      <c r="L9" s="8"/>
      <c r="M9" s="34" t="str">
        <f>'PG-US-06'!$A$1</f>
        <v>PG-US-06</v>
      </c>
      <c r="N9" s="8"/>
      <c r="O9" s="34" t="str">
        <f>'PG-US-07'!$A$1</f>
        <v>PG-US-07</v>
      </c>
      <c r="P9" s="8"/>
      <c r="Q9" s="34" t="str">
        <f>'PG-US-08'!$A$1</f>
        <v>PG-US-08</v>
      </c>
      <c r="R9" s="8"/>
      <c r="S9" s="34" t="str">
        <f>'PG-US-09'!$A$1</f>
        <v>PG-US-09</v>
      </c>
      <c r="T9" s="8"/>
      <c r="U9" s="34" t="str">
        <f>'PG-US-10'!$A$1</f>
        <v>PG-US-10</v>
      </c>
      <c r="V9" s="8"/>
      <c r="W9" s="34" t="str">
        <f>'PG-US-11'!$A$1</f>
        <v>PG-US-11</v>
      </c>
      <c r="X9" s="8"/>
      <c r="Y9" s="34" t="str">
        <f>'PG-US-12'!$A$1</f>
        <v>PG-US-12</v>
      </c>
      <c r="Z9" s="8"/>
      <c r="AA9" s="34" t="str">
        <f>'PG-US-13'!$A$1</f>
        <v>PG-US-13</v>
      </c>
      <c r="AB9" s="8"/>
      <c r="AC9" s="34" t="str">
        <f>'PG-US-14'!$A$1</f>
        <v>PG-US-14</v>
      </c>
      <c r="AD9" s="8"/>
      <c r="AE9" s="34" t="str">
        <f>'PG-US-15'!$A$1</f>
        <v>PG-US-15</v>
      </c>
      <c r="AF9" s="8"/>
      <c r="AG9" s="34" t="str">
        <f>'PG-US-16'!$A$1</f>
        <v>PG-US-16</v>
      </c>
      <c r="AH9" s="8"/>
      <c r="AI9" s="34" t="str">
        <f>'PG-US-17'!$A$1</f>
        <v>PG-US-17</v>
      </c>
      <c r="AJ9" s="8"/>
      <c r="AK9" s="34" t="str">
        <f>'AO-US-01'!$A$1</f>
        <v>AO-US-01</v>
      </c>
      <c r="AL9" s="8"/>
      <c r="AM9" s="34" t="str">
        <f>'AO-US-02'!$A$1</f>
        <v>AO-US-01</v>
      </c>
      <c r="AN9" s="8"/>
      <c r="AO9" s="34" t="str">
        <f>'AO-US-02'!$A$1</f>
        <v>AO-US-01</v>
      </c>
      <c r="AP9" s="8"/>
    </row>
    <row r="10" ht="190.5" customHeight="1">
      <c r="A10" s="35" t="s">
        <v>54</v>
      </c>
      <c r="B10" s="36"/>
      <c r="C10" s="37" t="str">
        <f>'PG-US-01'!B1</f>
        <v> USER STORY: 
As a new user, I want to click the 'New? Sign Up' button on the login page so that I can access the registration form and create an account.
</v>
      </c>
      <c r="D10" s="8"/>
      <c r="E10" s="37" t="str">
        <f>'PG-US-02'!B1</f>
        <v>USER STORY: 
As a registered user of the Assessor’s Office portal,
I want to log in using my email and password,
So that I can access my personal records and services provided by the City of Sta. Rosa.
</v>
      </c>
      <c r="F10" s="8"/>
      <c r="G10" s="38" t="str">
        <f>'PG-US-03'!B1</f>
        <v>USER STORY: 
As a new user of the Assessor’s Office portal,
I want to see a confirmation message after submitting my email for verification,
So that I know the next steps and can return to the homepage easily.</v>
      </c>
      <c r="H10" s="8"/>
      <c r="I10" s="38" t="str">
        <f>'PG-US-04'!B1</f>
        <v>USER STORY: 
As a logged-in user of the Assessor’s Office portal,
I want to access my profile, logout option, see a welcome message, and submit new requests easily,
So that I can efficiently manage my account and services.</v>
      </c>
      <c r="J10" s="8"/>
      <c r="K10" s="38" t="str">
        <f>'PG-US-05'!B1</f>
        <v>USER STORY: 
As a property owner,
I want to apply for a Certificate of True Copy of Tax Declaration
So that I can process my property documentation
And have it claimed as Personal
</v>
      </c>
      <c r="L10" s="8"/>
      <c r="M10" s="38" t="str">
        <f>'PG-US-06'!B1</f>
        <v>USER STORY: 
As a property owner,
I want to apply for a Certificate of True Copy of Tax Declaration
So that I can process my property documentation
And have it claimed by an Authorized Representative on my behalf.</v>
      </c>
      <c r="N10" s="8"/>
      <c r="O10" s="38" t="str">
        <f>'PG-US-07'!B1</f>
        <v>USER STORY: 
As a property owner,
I want to apply for a Transfer of Tax Declaration
So that I can process my property documentation
And claim the certificate in Personal.
</v>
      </c>
      <c r="P10" s="8"/>
      <c r="Q10" s="38" t="str">
        <f>'PG-US-08'!B1</f>
        <v>USER STORY: 
As a property owner,
I want to apply for a Transfer of Tax
So that I can process my property documentation
And claim the certificate by an Authorized Representative.</v>
      </c>
      <c r="R10" s="8"/>
      <c r="S10" s="38" t="str">
        <f>'PG-US-09'!B1</f>
        <v>USER STORY: 
As a property owner,
I want to apply for a Certificate of No-Property
So that I can process my property documentation
And claim the certificate in Personal.</v>
      </c>
      <c r="T10" s="8"/>
      <c r="U10" s="38" t="str">
        <f>'PG-US-10'!B1</f>
        <v>USER STORY: 
As a property owner,
I want to apply for a Certificate of No-Property
So that I can process my property documentation
And have it claimed by an Authorized Representative on my behalf.</v>
      </c>
      <c r="V10" s="8"/>
      <c r="W10" s="38" t="str">
        <f>'PG-US-11'!B1</f>
        <v>USER STORY: 
As a property owner,
I want to apply for a Certificate of Aggregate Landholdings
So that I can process my property documentation
And claim the certificate in Personal.</v>
      </c>
      <c r="X10" s="8"/>
      <c r="Y10" s="38" t="str">
        <f>'PG-US-12'!B1</f>
        <v>USER STORY: 
As a property owner,
I want to apply for a  Certificate of Aggregate Landholdings
So that I can process my property documentation
And have it claimed by an Authorized Representative on my behalf.</v>
      </c>
      <c r="Z10" s="8"/>
      <c r="AA10" s="38" t="str">
        <f>'PG-US-13'!B1</f>
        <v>USER STORY: 
As a property owner,
I want to apply for a Others Documents
So that I can process my property documentation
And claim the certificate in Personal.
</v>
      </c>
      <c r="AB10" s="8"/>
      <c r="AC10" s="38" t="str">
        <f>'PG-US-14'!B1</f>
        <v>USER STORY: 
As a property owner,
I want to apply for a  Other Documents 
So that I can process my property documentation
And have it claimed by an Authorized Representative on my behalf.</v>
      </c>
      <c r="AD10" s="8"/>
      <c r="AE10" s="38" t="str">
        <f>'PG-US-15'!B1</f>
        <v>USER STORY: 
DASHBOARD
As a registered user,
I want to view the list of my ongoing certificate applications with details like Ticket ID, status, amount, date, and upload/payment options,
so that I can monitor the progress, fulfill missing requirements, make payments if applicable, and ensure my applications are processed smoothly.
</v>
      </c>
      <c r="AF10" s="8"/>
      <c r="AG10" s="38" t="str">
        <f>'PG-US-16'!B1</f>
        <v>USER STORY: 
DASHBOARD
As a registered user,
I want to view my past certificate claims (History) with Ticket IDs, dates, and the list of claimed certificates using a year filter and search,
so that I can access a full record of my completed applications for future reference or documentation.</v>
      </c>
      <c r="AH10" s="8"/>
      <c r="AI10" s="38" t="str">
        <f>'PG-US-17'!B1</f>
        <v>USER STORY: 
As a property owner,
I want to apply for both the Certificate of True Copy of Tax Declaration and Transfer of Tax Declaration
So that I can process my property documentation
And claim it personally.</v>
      </c>
      <c r="AJ10" s="8"/>
      <c r="AK10" s="38" t="str">
        <f>'AO-US-01'!B1</f>
        <v>USER STORY: 
As a system admistrator,
I want to configure and edit email templates based on request status,
So that the system can automatically send appropriate and customizable notifications to users at each stage of their certificate request.</v>
      </c>
      <c r="AL10" s="8"/>
      <c r="AM10" s="38" t="str">
        <f>'AO-US-02'!B1</f>
        <v>USER STORY: 
As a system administrator,
I want to view, filter, and manage certificate requests submitted by applicants,
So that I can monitor the status of each request, update records, and take appropriate actions such as editing or deleting submissions.</v>
      </c>
      <c r="AN10" s="8"/>
      <c r="AO10" s="38" t="str">
        <f>'AO-US-03'!B1</f>
        <v>USER STORY: 
As a system administrator,
I want to configure and manage email notifications assigned to specific internal user groups and status types,
So that the correct group (e.g., AO Officer, Treasury Office, BPLO Admin) receives automated updates or task reminders as certificate requests move through different statuses.</v>
      </c>
      <c r="AP10" s="8"/>
    </row>
    <row r="11" ht="36.0" customHeight="1">
      <c r="A11" s="39"/>
      <c r="B11" s="40"/>
      <c r="C11" s="41" t="s">
        <v>24</v>
      </c>
      <c r="D11" s="41" t="s">
        <v>55</v>
      </c>
      <c r="E11" s="41" t="s">
        <v>24</v>
      </c>
      <c r="F11" s="41" t="s">
        <v>55</v>
      </c>
      <c r="G11" s="41" t="s">
        <v>24</v>
      </c>
      <c r="H11" s="41" t="s">
        <v>55</v>
      </c>
      <c r="I11" s="41" t="s">
        <v>24</v>
      </c>
      <c r="J11" s="41" t="s">
        <v>55</v>
      </c>
      <c r="K11" s="41" t="s">
        <v>24</v>
      </c>
      <c r="L11" s="41" t="s">
        <v>55</v>
      </c>
      <c r="M11" s="41" t="s">
        <v>24</v>
      </c>
      <c r="N11" s="41" t="s">
        <v>55</v>
      </c>
      <c r="O11" s="41" t="s">
        <v>24</v>
      </c>
      <c r="P11" s="41" t="s">
        <v>55</v>
      </c>
      <c r="Q11" s="41" t="s">
        <v>24</v>
      </c>
      <c r="R11" s="41" t="s">
        <v>55</v>
      </c>
      <c r="S11" s="41" t="s">
        <v>24</v>
      </c>
      <c r="T11" s="41" t="s">
        <v>55</v>
      </c>
      <c r="U11" s="41" t="s">
        <v>24</v>
      </c>
      <c r="V11" s="41" t="s">
        <v>55</v>
      </c>
      <c r="W11" s="41" t="s">
        <v>24</v>
      </c>
      <c r="X11" s="41" t="s">
        <v>55</v>
      </c>
      <c r="Y11" s="41" t="s">
        <v>24</v>
      </c>
      <c r="Z11" s="41" t="s">
        <v>55</v>
      </c>
      <c r="AA11" s="41" t="s">
        <v>24</v>
      </c>
      <c r="AB11" s="41" t="s">
        <v>55</v>
      </c>
      <c r="AC11" s="41" t="s">
        <v>24</v>
      </c>
      <c r="AD11" s="41" t="s">
        <v>55</v>
      </c>
      <c r="AE11" s="41" t="s">
        <v>24</v>
      </c>
      <c r="AF11" s="41" t="s">
        <v>55</v>
      </c>
      <c r="AG11" s="41" t="s">
        <v>24</v>
      </c>
      <c r="AH11" s="41" t="s">
        <v>55</v>
      </c>
      <c r="AI11" s="41" t="s">
        <v>24</v>
      </c>
      <c r="AJ11" s="41" t="s">
        <v>55</v>
      </c>
      <c r="AK11" s="41" t="s">
        <v>24</v>
      </c>
      <c r="AL11" s="41" t="s">
        <v>55</v>
      </c>
      <c r="AM11" s="41" t="s">
        <v>24</v>
      </c>
      <c r="AN11" s="41" t="s">
        <v>55</v>
      </c>
      <c r="AO11" s="41" t="s">
        <v>24</v>
      </c>
      <c r="AP11" s="41" t="s">
        <v>55</v>
      </c>
    </row>
    <row r="12">
      <c r="A12" s="42" t="s">
        <v>56</v>
      </c>
      <c r="B12" s="8"/>
      <c r="C12" s="43" t="str">
        <f t="array" ref="C12:C1008">'PG-US-01'!F3:F994</f>
        <v>PASSED</v>
      </c>
      <c r="D12" s="43" t="str">
        <f t="array" ref="D12:D1008">'PG-US-01'!G3:G994</f>
        <v/>
      </c>
      <c r="E12" s="43" t="str">
        <f t="array" ref="E12:E1009">'PG-US-02'!F3:F994</f>
        <v>PASSED</v>
      </c>
      <c r="F12" s="43" t="str">
        <f t="array" ref="F12:F1009">'PG-US-02'!G3:G994</f>
        <v/>
      </c>
      <c r="G12" s="43" t="str">
        <f t="array" ref="G12:G1009">'PG-US-03'!F3:F994</f>
        <v>PASSED</v>
      </c>
      <c r="H12" s="43" t="str">
        <f t="array" ref="H12:H1009">'PG-US-03'!G3:G994</f>
        <v/>
      </c>
      <c r="I12" s="43" t="str">
        <f t="array" ref="I12:I1009">'PG-US-04'!F3:F994</f>
        <v>PASSED</v>
      </c>
      <c r="J12" s="44" t="str">
        <f t="array" ref="J12:J1009">'PG-US-04'!G3:G994</f>
        <v>"type of certificate" field changed to drop down. 
comma text no longer applicable. 
multi select from drop down doesnt seem to be allowed
but primary function working</v>
      </c>
      <c r="K12" s="43" t="str">
        <f t="array" ref="K12:K940">'PG-US-05'!F3:F994</f>
        <v>PASSED</v>
      </c>
      <c r="L12" s="43" t="str">
        <f t="array" ref="L12:L940">'PG-US-05'!G3:G994</f>
        <v/>
      </c>
      <c r="M12" s="43" t="str">
        <f t="array" ref="M12:M938">'PG-US-06'!F3:F994</f>
        <v>PASSED</v>
      </c>
      <c r="N12" s="43" t="str">
        <f t="array" ref="N12:N938">'PG-US-06'!G3:G994</f>
        <v/>
      </c>
      <c r="O12" s="43" t="str">
        <f t="array" ref="O12:O942">'PG-US-07'!F3:F994</f>
        <v>PASSED</v>
      </c>
      <c r="P12" s="43" t="str">
        <f t="array" ref="P12:P942">'PG-US-07'!G3:G994</f>
        <v/>
      </c>
      <c r="Q12" s="43" t="str">
        <f t="array" ref="Q12:Q950">'PG-US-08'!F3:F994</f>
        <v>PASSED</v>
      </c>
      <c r="R12" s="43" t="str">
        <f t="array" ref="R12:R950">'PG-US-08'!G3:G994</f>
        <v/>
      </c>
      <c r="S12" s="43" t="str">
        <f t="array" ref="S12:S921">'PG-US-09'!F3:F994</f>
        <v>PASSED</v>
      </c>
      <c r="T12" s="45" t="str">
        <f t="array" ref="T12:T921">'PG-US-09'!G3:G994</f>
        <v/>
      </c>
      <c r="U12" s="45" t="str">
        <f t="array" ref="U12:U935">'PG-US-10'!F3:F994</f>
        <v>PASSED</v>
      </c>
      <c r="V12" s="45" t="str">
        <f t="array" ref="V12:V935">'PG-US-10'!G3:G994</f>
        <v/>
      </c>
      <c r="W12" s="45" t="str">
        <f t="array" ref="W12:W938">'PG-US-11'!F3:F994</f>
        <v>PASSED</v>
      </c>
      <c r="X12" s="45" t="str">
        <f t="array" ref="X12:X938">'PG-US-11'!G3:G994</f>
        <v/>
      </c>
      <c r="Y12" s="45" t="str">
        <f t="array" ref="Y12:Y943">'PG-US-12'!F3:F994</f>
        <v>OPEN</v>
      </c>
      <c r="Z12" s="45" t="str">
        <f t="array" ref="Z12:Z943">'PG-US-12'!G3:G994</f>
        <v/>
      </c>
      <c r="AA12" s="45" t="str">
        <f t="array" ref="AA12:AA944">'PG-US-13'!F3:F994</f>
        <v>OPEN</v>
      </c>
      <c r="AB12" s="45" t="str">
        <f t="array" ref="AB12:AB944">'PG-US-13'!G3:G994</f>
        <v/>
      </c>
      <c r="AC12" s="45" t="str">
        <f t="array" ref="AC12:AC935">'PG-US-14'!F3:F994</f>
        <v>PASSED</v>
      </c>
      <c r="AD12" s="45" t="str">
        <f t="array" ref="AD12:AD935">'PG-US-14'!G3:G994</f>
        <v/>
      </c>
      <c r="AE12" s="45" t="str">
        <f t="array" ref="AE12:AE939">'PG-US-15'!F3:F994</f>
        <v>PASSED</v>
      </c>
      <c r="AF12" s="45" t="str">
        <f t="array" ref="AF12:AF939">'PG-US-15'!G3:G994</f>
        <v/>
      </c>
      <c r="AG12" s="45" t="str">
        <f t="array" ref="AG12:AG939">'PG-US-16'!F3:F994</f>
        <v>OPEN</v>
      </c>
      <c r="AH12" s="45" t="str">
        <f t="array" ref="AH12:AH939">'PG-US-16'!G3:G994</f>
        <v/>
      </c>
      <c r="AI12" s="45" t="str">
        <f t="array" ref="AI12:AI1009">'PG-US-17'!$F$3:$F994</f>
        <v>OPEN</v>
      </c>
      <c r="AJ12" s="45" t="str">
        <f t="array" ref="AJ12:AJ1009">'PG-US-17'!$G$3:$G994</f>
        <v/>
      </c>
      <c r="AK12" s="45" t="str">
        <f t="array" ref="AK12:AK1007">'AO-US-01'!$F$3:$F994</f>
        <v>PASSED</v>
      </c>
      <c r="AL12" s="45" t="str">
        <f t="array" ref="AL12:AL1007">'AO-US-01'!$G$3:$G994</f>
        <v/>
      </c>
      <c r="AM12" s="45" t="str">
        <f t="array" ref="AM12:AM1017">'AO-US-02'!$F$3:$F994</f>
        <v>PASSED</v>
      </c>
      <c r="AN12" s="45" t="str">
        <f t="array" ref="AN12:AN1017">'AO-US-02'!$G$3:$G994</f>
        <v/>
      </c>
      <c r="AO12" s="45" t="str">
        <f t="array" ref="AO12:AO1009">'AO-US-03'!$F$3:$F994</f>
        <v>FAILED</v>
      </c>
      <c r="AP12" s="45" t="str">
        <f t="array" ref="AP12:AP1009">'AO-US-03'!$G$3:$G994</f>
        <v>working - however there is no validation if the exact group and status is submitted as an already existing record</v>
      </c>
    </row>
    <row r="13">
      <c r="A13" s="42" t="s">
        <v>57</v>
      </c>
      <c r="B13" s="8"/>
      <c r="C13" s="45" t="s">
        <v>51</v>
      </c>
      <c r="D13" s="46" t="s">
        <v>58</v>
      </c>
      <c r="E13" s="46" t="s">
        <v>53</v>
      </c>
      <c r="F13" s="46"/>
      <c r="G13" s="46" t="s">
        <v>53</v>
      </c>
      <c r="H13" s="46"/>
      <c r="I13" s="46" t="s">
        <v>53</v>
      </c>
      <c r="J13" s="46"/>
      <c r="K13" s="46" t="s">
        <v>53</v>
      </c>
      <c r="L13" s="46"/>
      <c r="M13" s="46" t="s">
        <v>53</v>
      </c>
      <c r="N13" s="46"/>
      <c r="O13" s="46" t="s">
        <v>53</v>
      </c>
      <c r="P13" s="46"/>
      <c r="Q13" s="46" t="s">
        <v>53</v>
      </c>
      <c r="R13" s="46"/>
      <c r="S13" s="46" t="s">
        <v>53</v>
      </c>
      <c r="T13" s="21"/>
      <c r="U13" s="21" t="s">
        <v>53</v>
      </c>
      <c r="V13" s="21"/>
      <c r="W13" s="21" t="s">
        <v>53</v>
      </c>
      <c r="X13" s="45"/>
      <c r="Y13" s="21" t="s">
        <v>50</v>
      </c>
      <c r="Z13" s="21"/>
      <c r="AA13" s="21" t="s">
        <v>50</v>
      </c>
      <c r="AB13" s="21"/>
      <c r="AC13" s="21" t="s">
        <v>53</v>
      </c>
      <c r="AD13" s="21"/>
      <c r="AE13" s="21" t="s">
        <v>53</v>
      </c>
      <c r="AF13" s="21"/>
      <c r="AG13" s="21" t="s">
        <v>50</v>
      </c>
      <c r="AH13" s="21"/>
      <c r="AI13" s="21" t="s">
        <v>50</v>
      </c>
      <c r="AJ13" s="21"/>
      <c r="AK13" s="21" t="s">
        <v>53</v>
      </c>
      <c r="AL13" s="21"/>
      <c r="AM13" s="21" t="s">
        <v>53</v>
      </c>
      <c r="AN13" s="21" t="s">
        <v>59</v>
      </c>
      <c r="AO13" s="21" t="s">
        <v>53</v>
      </c>
      <c r="AP13" s="21"/>
    </row>
    <row r="14">
      <c r="A14" s="42" t="s">
        <v>60</v>
      </c>
      <c r="B14" s="8"/>
      <c r="C14" s="45" t="s">
        <v>51</v>
      </c>
      <c r="D14" s="46" t="s">
        <v>61</v>
      </c>
      <c r="E14" s="46" t="s">
        <v>53</v>
      </c>
      <c r="F14" s="46"/>
      <c r="G14" s="46" t="s">
        <v>53</v>
      </c>
      <c r="H14" s="46"/>
      <c r="I14" s="46" t="s">
        <v>53</v>
      </c>
      <c r="J14" s="46"/>
      <c r="K14" s="46" t="s">
        <v>53</v>
      </c>
      <c r="L14" s="46"/>
      <c r="M14" s="46" t="s">
        <v>53</v>
      </c>
      <c r="N14" s="46"/>
      <c r="O14" s="46" t="s">
        <v>53</v>
      </c>
      <c r="P14" s="46"/>
      <c r="Q14" s="46" t="s">
        <v>53</v>
      </c>
      <c r="R14" s="46"/>
      <c r="S14" s="46" t="s">
        <v>53</v>
      </c>
      <c r="T14" s="21"/>
      <c r="U14" s="21" t="s">
        <v>53</v>
      </c>
      <c r="V14" s="21"/>
      <c r="W14" s="21" t="s">
        <v>53</v>
      </c>
      <c r="X14" s="45"/>
      <c r="Y14" s="21" t="s">
        <v>50</v>
      </c>
      <c r="Z14" s="21"/>
      <c r="AA14" s="21" t="s">
        <v>50</v>
      </c>
      <c r="AB14" s="21"/>
      <c r="AC14" s="21" t="s">
        <v>53</v>
      </c>
      <c r="AD14" s="21"/>
      <c r="AE14" s="21" t="s">
        <v>53</v>
      </c>
      <c r="AF14" s="21"/>
      <c r="AG14" s="21" t="s">
        <v>50</v>
      </c>
      <c r="AH14" s="21" t="s">
        <v>62</v>
      </c>
      <c r="AI14" s="21" t="s">
        <v>50</v>
      </c>
      <c r="AJ14" s="21"/>
      <c r="AK14" s="21" t="s">
        <v>53</v>
      </c>
      <c r="AL14" s="21"/>
      <c r="AM14" s="21" t="s">
        <v>53</v>
      </c>
      <c r="AN14" s="21"/>
      <c r="AO14" s="21" t="s">
        <v>53</v>
      </c>
      <c r="AP14" s="21"/>
    </row>
    <row r="15">
      <c r="A15" s="42" t="s">
        <v>63</v>
      </c>
      <c r="B15" s="8"/>
      <c r="C15" s="45" t="s">
        <v>53</v>
      </c>
      <c r="D15" s="46"/>
      <c r="E15" s="46" t="s">
        <v>53</v>
      </c>
      <c r="F15" s="46"/>
      <c r="G15" s="46" t="s">
        <v>53</v>
      </c>
      <c r="H15" s="46"/>
      <c r="I15" s="46" t="s">
        <v>53</v>
      </c>
      <c r="J15" s="46"/>
      <c r="K15" s="46" t="s">
        <v>53</v>
      </c>
      <c r="L15" s="46"/>
      <c r="M15" s="46" t="s">
        <v>53</v>
      </c>
      <c r="N15" s="46"/>
      <c r="O15" s="46" t="s">
        <v>53</v>
      </c>
      <c r="P15" s="46"/>
      <c r="Q15" s="46" t="s">
        <v>53</v>
      </c>
      <c r="R15" s="46"/>
      <c r="S15" s="46" t="s">
        <v>53</v>
      </c>
      <c r="T15" s="21"/>
      <c r="U15" s="21" t="s">
        <v>53</v>
      </c>
      <c r="V15" s="21"/>
      <c r="W15" s="21" t="s">
        <v>53</v>
      </c>
      <c r="X15" s="45"/>
      <c r="Y15" s="21" t="s">
        <v>50</v>
      </c>
      <c r="Z15" s="21"/>
      <c r="AA15" s="21" t="s">
        <v>50</v>
      </c>
      <c r="AB15" s="21"/>
      <c r="AC15" s="21" t="s">
        <v>53</v>
      </c>
      <c r="AD15" s="21"/>
      <c r="AE15" s="21" t="s">
        <v>53</v>
      </c>
      <c r="AF15" s="21"/>
      <c r="AG15" s="21" t="s">
        <v>53</v>
      </c>
      <c r="AH15" s="21"/>
      <c r="AI15" s="21" t="s">
        <v>50</v>
      </c>
      <c r="AJ15" s="21"/>
      <c r="AK15" s="21" t="s">
        <v>53</v>
      </c>
      <c r="AL15" s="21"/>
      <c r="AM15" s="21" t="s">
        <v>53</v>
      </c>
      <c r="AN15" s="21"/>
      <c r="AO15" s="21" t="s">
        <v>53</v>
      </c>
      <c r="AP15" s="21"/>
    </row>
    <row r="16">
      <c r="A16" s="42" t="s">
        <v>64</v>
      </c>
      <c r="B16" s="8"/>
      <c r="C16" s="45" t="s">
        <v>53</v>
      </c>
      <c r="D16" s="46"/>
      <c r="E16" s="46" t="s">
        <v>53</v>
      </c>
      <c r="F16" s="46"/>
      <c r="G16" s="46" t="s">
        <v>53</v>
      </c>
      <c r="H16" s="46"/>
      <c r="I16" s="46" t="s">
        <v>53</v>
      </c>
      <c r="J16" s="46"/>
      <c r="K16" s="46" t="s">
        <v>53</v>
      </c>
      <c r="L16" s="46"/>
      <c r="M16" s="46" t="s">
        <v>53</v>
      </c>
      <c r="N16" s="46"/>
      <c r="O16" s="46" t="s">
        <v>53</v>
      </c>
      <c r="P16" s="46"/>
      <c r="Q16" s="46" t="s">
        <v>53</v>
      </c>
      <c r="R16" s="46"/>
      <c r="S16" s="46" t="s">
        <v>53</v>
      </c>
      <c r="T16" s="21"/>
      <c r="U16" s="21" t="s">
        <v>53</v>
      </c>
      <c r="V16" s="21"/>
      <c r="W16" s="21" t="s">
        <v>53</v>
      </c>
      <c r="X16" s="45"/>
      <c r="Y16" s="21" t="s">
        <v>50</v>
      </c>
      <c r="Z16" s="21"/>
      <c r="AA16" s="21" t="s">
        <v>50</v>
      </c>
      <c r="AB16" s="21"/>
      <c r="AC16" s="21" t="s">
        <v>53</v>
      </c>
      <c r="AD16" s="21"/>
      <c r="AE16" s="21" t="s">
        <v>53</v>
      </c>
      <c r="AF16" s="21"/>
      <c r="AG16" s="21"/>
      <c r="AH16" s="21"/>
      <c r="AI16" s="21" t="s">
        <v>50</v>
      </c>
      <c r="AJ16" s="21"/>
      <c r="AK16" s="21" t="s">
        <v>53</v>
      </c>
      <c r="AL16" s="21"/>
      <c r="AM16" s="21" t="s">
        <v>53</v>
      </c>
      <c r="AN16" s="21"/>
      <c r="AO16" s="21" t="s">
        <v>53</v>
      </c>
      <c r="AP16" s="21"/>
    </row>
    <row r="17">
      <c r="A17" s="42" t="s">
        <v>65</v>
      </c>
      <c r="B17" s="8"/>
      <c r="C17" s="45" t="s">
        <v>53</v>
      </c>
      <c r="D17" s="21"/>
      <c r="E17" s="21" t="s">
        <v>51</v>
      </c>
      <c r="F17" s="21" t="s">
        <v>66</v>
      </c>
      <c r="G17" s="21" t="s">
        <v>53</v>
      </c>
      <c r="H17" s="21"/>
      <c r="I17" s="21" t="s">
        <v>53</v>
      </c>
      <c r="J17" s="21" t="s">
        <v>67</v>
      </c>
      <c r="K17" s="21" t="s">
        <v>53</v>
      </c>
      <c r="L17" s="21"/>
      <c r="M17" s="21" t="s">
        <v>53</v>
      </c>
      <c r="N17" s="21"/>
      <c r="O17" s="21" t="s">
        <v>53</v>
      </c>
      <c r="P17" s="21"/>
      <c r="Q17" s="21" t="s">
        <v>53</v>
      </c>
      <c r="R17" s="21"/>
      <c r="S17" s="21" t="s">
        <v>53</v>
      </c>
      <c r="T17" s="21"/>
      <c r="U17" s="21" t="s">
        <v>53</v>
      </c>
      <c r="V17" s="21"/>
      <c r="W17" s="21" t="s">
        <v>53</v>
      </c>
      <c r="X17" s="45"/>
      <c r="Y17" s="21" t="s">
        <v>50</v>
      </c>
      <c r="Z17" s="21"/>
      <c r="AA17" s="21" t="s">
        <v>50</v>
      </c>
      <c r="AB17" s="21"/>
      <c r="AC17" s="21" t="s">
        <v>53</v>
      </c>
      <c r="AD17" s="21"/>
      <c r="AE17" s="21" t="s">
        <v>51</v>
      </c>
      <c r="AF17" s="21" t="s">
        <v>68</v>
      </c>
      <c r="AG17" s="21"/>
      <c r="AH17" s="21"/>
      <c r="AI17" s="21" t="s">
        <v>50</v>
      </c>
      <c r="AJ17" s="21"/>
      <c r="AK17" s="21" t="s">
        <v>53</v>
      </c>
      <c r="AL17" s="21"/>
      <c r="AM17" s="21" t="s">
        <v>53</v>
      </c>
      <c r="AN17" s="21"/>
      <c r="AO17" s="21" t="s">
        <v>53</v>
      </c>
      <c r="AP17" s="21"/>
    </row>
    <row r="18">
      <c r="A18" s="42" t="s">
        <v>69</v>
      </c>
      <c r="B18" s="8"/>
      <c r="C18" s="45" t="s">
        <v>53</v>
      </c>
      <c r="D18" s="21"/>
      <c r="E18" s="21" t="s">
        <v>53</v>
      </c>
      <c r="F18" s="21"/>
      <c r="G18" s="21" t="s">
        <v>53</v>
      </c>
      <c r="H18" s="21"/>
      <c r="I18" s="21" t="s">
        <v>53</v>
      </c>
      <c r="J18" s="21"/>
      <c r="K18" s="21" t="s">
        <v>53</v>
      </c>
      <c r="L18" s="21"/>
      <c r="M18" s="21" t="s">
        <v>53</v>
      </c>
      <c r="N18" s="21"/>
      <c r="O18" s="21" t="s">
        <v>53</v>
      </c>
      <c r="P18" s="21"/>
      <c r="Q18" s="21" t="s">
        <v>53</v>
      </c>
      <c r="R18" s="21"/>
      <c r="S18" s="21" t="s">
        <v>53</v>
      </c>
      <c r="T18" s="21"/>
      <c r="U18" s="21" t="s">
        <v>53</v>
      </c>
      <c r="V18" s="21"/>
      <c r="W18" s="21" t="s">
        <v>53</v>
      </c>
      <c r="X18" s="45"/>
      <c r="Y18" s="21" t="s">
        <v>50</v>
      </c>
      <c r="Z18" s="21"/>
      <c r="AA18" s="21" t="s">
        <v>50</v>
      </c>
      <c r="AB18" s="21"/>
      <c r="AC18" s="21" t="s">
        <v>53</v>
      </c>
      <c r="AD18" s="21"/>
      <c r="AE18" s="21" t="s">
        <v>50</v>
      </c>
      <c r="AF18" s="21"/>
      <c r="AG18" s="21"/>
      <c r="AH18" s="21"/>
      <c r="AI18" s="21" t="s">
        <v>50</v>
      </c>
      <c r="AJ18" s="21"/>
      <c r="AK18" s="21" t="s">
        <v>53</v>
      </c>
      <c r="AL18" s="21"/>
      <c r="AM18" s="21" t="s">
        <v>53</v>
      </c>
      <c r="AN18" s="21"/>
      <c r="AO18" s="21" t="s">
        <v>53</v>
      </c>
      <c r="AP18" s="21"/>
    </row>
    <row r="19">
      <c r="A19" s="42" t="s">
        <v>70</v>
      </c>
      <c r="B19" s="8"/>
      <c r="C19" s="45" t="s">
        <v>53</v>
      </c>
      <c r="D19" s="21"/>
      <c r="E19" s="21" t="s">
        <v>53</v>
      </c>
      <c r="F19" s="21"/>
      <c r="G19" s="21"/>
      <c r="H19" s="21"/>
      <c r="I19" s="21" t="s">
        <v>53</v>
      </c>
      <c r="J19" s="21"/>
      <c r="K19" s="21" t="s">
        <v>53</v>
      </c>
      <c r="L19" s="21"/>
      <c r="M19" s="21" t="s">
        <v>53</v>
      </c>
      <c r="N19" s="21"/>
      <c r="O19" s="21" t="s">
        <v>53</v>
      </c>
      <c r="P19" s="21"/>
      <c r="Q19" s="21" t="s">
        <v>53</v>
      </c>
      <c r="R19" s="21"/>
      <c r="S19" s="21" t="s">
        <v>53</v>
      </c>
      <c r="T19" s="21"/>
      <c r="U19" s="21" t="s">
        <v>53</v>
      </c>
      <c r="V19" s="21"/>
      <c r="W19" s="21" t="s">
        <v>53</v>
      </c>
      <c r="X19" s="45"/>
      <c r="Y19" s="21" t="s">
        <v>50</v>
      </c>
      <c r="Z19" s="21"/>
      <c r="AA19" s="21" t="s">
        <v>50</v>
      </c>
      <c r="AB19" s="21"/>
      <c r="AC19" s="21" t="s">
        <v>53</v>
      </c>
      <c r="AD19" s="21"/>
      <c r="AE19" s="21" t="s">
        <v>50</v>
      </c>
      <c r="AF19" s="21"/>
      <c r="AG19" s="21"/>
      <c r="AH19" s="21"/>
      <c r="AI19" s="21" t="s">
        <v>50</v>
      </c>
      <c r="AJ19" s="21"/>
      <c r="AK19" s="21" t="s">
        <v>53</v>
      </c>
      <c r="AL19" s="21"/>
      <c r="AM19" s="21" t="s">
        <v>50</v>
      </c>
      <c r="AN19" s="21"/>
      <c r="AO19" s="21" t="s">
        <v>50</v>
      </c>
      <c r="AP19" s="21"/>
    </row>
    <row r="20">
      <c r="A20" s="42" t="s">
        <v>71</v>
      </c>
      <c r="B20" s="8"/>
      <c r="C20" s="45" t="s">
        <v>53</v>
      </c>
      <c r="D20" s="21"/>
      <c r="E20" s="21" t="s">
        <v>53</v>
      </c>
      <c r="F20" s="21"/>
      <c r="G20" s="21"/>
      <c r="H20" s="21"/>
      <c r="I20" s="21" t="s">
        <v>53</v>
      </c>
      <c r="J20" s="21"/>
      <c r="K20" s="21" t="s">
        <v>53</v>
      </c>
      <c r="L20" s="21"/>
      <c r="M20" s="21" t="s">
        <v>53</v>
      </c>
      <c r="N20" s="21"/>
      <c r="O20" s="21" t="s">
        <v>53</v>
      </c>
      <c r="P20" s="21"/>
      <c r="Q20" s="21" t="s">
        <v>53</v>
      </c>
      <c r="R20" s="21"/>
      <c r="S20" s="21" t="s">
        <v>53</v>
      </c>
      <c r="T20" s="21"/>
      <c r="U20" s="21" t="s">
        <v>53</v>
      </c>
      <c r="V20" s="21"/>
      <c r="W20" s="21" t="s">
        <v>53</v>
      </c>
      <c r="X20" s="45"/>
      <c r="Y20" s="21" t="s">
        <v>50</v>
      </c>
      <c r="Z20" s="21"/>
      <c r="AA20" s="21" t="s">
        <v>50</v>
      </c>
      <c r="AB20" s="21"/>
      <c r="AC20" s="21" t="s">
        <v>53</v>
      </c>
      <c r="AD20" s="21"/>
      <c r="AE20" s="21" t="s">
        <v>50</v>
      </c>
      <c r="AF20" s="21"/>
      <c r="AG20" s="21"/>
      <c r="AH20" s="21"/>
      <c r="AI20" s="21" t="s">
        <v>50</v>
      </c>
      <c r="AJ20" s="21"/>
      <c r="AK20" s="21" t="s">
        <v>53</v>
      </c>
      <c r="AL20" s="21"/>
      <c r="AM20" s="21" t="s">
        <v>53</v>
      </c>
      <c r="AN20" s="21"/>
      <c r="AO20" s="21" t="s">
        <v>50</v>
      </c>
      <c r="AP20" s="21"/>
    </row>
    <row r="21">
      <c r="A21" s="42" t="s">
        <v>72</v>
      </c>
      <c r="B21" s="8"/>
      <c r="C21" s="45" t="s">
        <v>53</v>
      </c>
      <c r="D21" s="21"/>
      <c r="E21" s="21" t="s">
        <v>52</v>
      </c>
      <c r="F21" s="21"/>
      <c r="G21" s="21"/>
      <c r="H21" s="21"/>
      <c r="I21" s="21"/>
      <c r="J21" s="21"/>
      <c r="K21" s="21" t="s">
        <v>53</v>
      </c>
      <c r="L21" s="21"/>
      <c r="M21" s="21" t="s">
        <v>53</v>
      </c>
      <c r="N21" s="21"/>
      <c r="O21" s="21" t="s">
        <v>53</v>
      </c>
      <c r="P21" s="21"/>
      <c r="Q21" s="21" t="s">
        <v>53</v>
      </c>
      <c r="R21" s="21"/>
      <c r="S21" s="21" t="s">
        <v>53</v>
      </c>
      <c r="T21" s="21"/>
      <c r="U21" s="21" t="s">
        <v>53</v>
      </c>
      <c r="V21" s="21"/>
      <c r="W21" s="21" t="s">
        <v>53</v>
      </c>
      <c r="X21" s="21" t="s">
        <v>73</v>
      </c>
      <c r="Y21" s="21" t="s">
        <v>50</v>
      </c>
      <c r="Z21" s="21"/>
      <c r="AA21" s="21" t="s">
        <v>50</v>
      </c>
      <c r="AB21" s="21"/>
      <c r="AC21" s="21" t="s">
        <v>53</v>
      </c>
      <c r="AD21" s="21"/>
      <c r="AE21" s="21" t="s">
        <v>50</v>
      </c>
      <c r="AF21" s="21"/>
      <c r="AG21" s="21"/>
      <c r="AH21" s="21"/>
      <c r="AI21" s="21" t="s">
        <v>50</v>
      </c>
      <c r="AJ21" s="21"/>
      <c r="AK21" s="21" t="s">
        <v>53</v>
      </c>
      <c r="AL21" s="21"/>
      <c r="AM21" s="21" t="s">
        <v>53</v>
      </c>
      <c r="AN21" s="21" t="s">
        <v>74</v>
      </c>
      <c r="AO21" s="21" t="s">
        <v>50</v>
      </c>
      <c r="AP21" s="21"/>
    </row>
    <row r="22">
      <c r="A22" s="42" t="s">
        <v>75</v>
      </c>
      <c r="B22" s="8"/>
      <c r="C22" s="45" t="s">
        <v>53</v>
      </c>
      <c r="D22" s="21"/>
      <c r="E22" s="21" t="s">
        <v>53</v>
      </c>
      <c r="F22" s="21"/>
      <c r="G22" s="21"/>
      <c r="H22" s="21"/>
      <c r="I22" s="21"/>
      <c r="J22" s="21"/>
      <c r="K22" s="21" t="s">
        <v>53</v>
      </c>
      <c r="L22" s="21"/>
      <c r="M22" s="21" t="s">
        <v>53</v>
      </c>
      <c r="N22" s="21"/>
      <c r="O22" s="21" t="s">
        <v>53</v>
      </c>
      <c r="P22" s="21"/>
      <c r="Q22" s="21" t="s">
        <v>53</v>
      </c>
      <c r="R22" s="21"/>
      <c r="S22" s="21" t="s">
        <v>53</v>
      </c>
      <c r="T22" s="21"/>
      <c r="U22" s="21" t="s">
        <v>53</v>
      </c>
      <c r="V22" s="21"/>
      <c r="W22" s="21" t="s">
        <v>53</v>
      </c>
      <c r="X22" s="21"/>
      <c r="Y22" s="21" t="s">
        <v>50</v>
      </c>
      <c r="Z22" s="21"/>
      <c r="AA22" s="21" t="s">
        <v>50</v>
      </c>
      <c r="AB22" s="21"/>
      <c r="AC22" s="21" t="s">
        <v>53</v>
      </c>
      <c r="AD22" s="21"/>
      <c r="AE22" s="21" t="s">
        <v>50</v>
      </c>
      <c r="AF22" s="21"/>
      <c r="AG22" s="21"/>
      <c r="AH22" s="21"/>
      <c r="AI22" s="21" t="s">
        <v>50</v>
      </c>
      <c r="AJ22" s="21"/>
      <c r="AK22" s="21" t="s">
        <v>53</v>
      </c>
      <c r="AL22" s="21"/>
      <c r="AM22" s="21" t="s">
        <v>53</v>
      </c>
      <c r="AN22" s="21"/>
      <c r="AO22" s="21" t="s">
        <v>50</v>
      </c>
      <c r="AP22" s="21"/>
    </row>
    <row r="23">
      <c r="A23" s="42" t="s">
        <v>76</v>
      </c>
      <c r="B23" s="8"/>
      <c r="C23" s="45" t="s">
        <v>51</v>
      </c>
      <c r="D23" s="21" t="s">
        <v>77</v>
      </c>
      <c r="E23" s="21" t="s">
        <v>53</v>
      </c>
      <c r="F23" s="21"/>
      <c r="G23" s="21"/>
      <c r="H23" s="21"/>
      <c r="I23" s="21"/>
      <c r="J23" s="21"/>
      <c r="K23" s="21" t="s">
        <v>53</v>
      </c>
      <c r="L23" s="21"/>
      <c r="M23" s="21" t="s">
        <v>53</v>
      </c>
      <c r="N23" s="21"/>
      <c r="O23" s="21" t="s">
        <v>53</v>
      </c>
      <c r="P23" s="21"/>
      <c r="Q23" s="21" t="s">
        <v>53</v>
      </c>
      <c r="R23" s="21"/>
      <c r="S23" s="21" t="s">
        <v>53</v>
      </c>
      <c r="T23" s="21"/>
      <c r="U23" s="21" t="s">
        <v>53</v>
      </c>
      <c r="V23" s="21"/>
      <c r="W23" s="21" t="s">
        <v>53</v>
      </c>
      <c r="X23" s="21"/>
      <c r="Y23" s="21" t="s">
        <v>50</v>
      </c>
      <c r="Z23" s="21"/>
      <c r="AA23" s="21" t="s">
        <v>50</v>
      </c>
      <c r="AB23" s="21"/>
      <c r="AC23" s="21" t="s">
        <v>53</v>
      </c>
      <c r="AD23" s="21"/>
      <c r="AE23" s="21" t="s">
        <v>50</v>
      </c>
      <c r="AF23" s="21"/>
      <c r="AG23" s="21"/>
      <c r="AH23" s="21"/>
      <c r="AI23" s="21" t="s">
        <v>50</v>
      </c>
      <c r="AJ23" s="21"/>
      <c r="AK23" s="21" t="s">
        <v>53</v>
      </c>
      <c r="AL23" s="21"/>
      <c r="AM23" s="21" t="s">
        <v>53</v>
      </c>
      <c r="AN23" s="21"/>
      <c r="AO23" s="21" t="s">
        <v>50</v>
      </c>
      <c r="AP23" s="21"/>
    </row>
    <row r="24">
      <c r="A24" s="42" t="s">
        <v>78</v>
      </c>
      <c r="B24" s="8"/>
      <c r="C24" s="45" t="s">
        <v>51</v>
      </c>
      <c r="D24" s="21" t="s">
        <v>79</v>
      </c>
      <c r="E24" s="21" t="s">
        <v>51</v>
      </c>
      <c r="F24" s="21" t="s">
        <v>80</v>
      </c>
      <c r="G24" s="21"/>
      <c r="H24" s="21"/>
      <c r="I24" s="21"/>
      <c r="J24" s="21"/>
      <c r="K24" s="21" t="s">
        <v>53</v>
      </c>
      <c r="L24" s="21"/>
      <c r="M24" s="21" t="s">
        <v>53</v>
      </c>
      <c r="N24" s="21"/>
      <c r="O24" s="21" t="s">
        <v>53</v>
      </c>
      <c r="P24" s="21"/>
      <c r="Q24" s="21" t="s">
        <v>53</v>
      </c>
      <c r="R24" s="21"/>
      <c r="S24" s="21" t="s">
        <v>53</v>
      </c>
      <c r="T24" s="21"/>
      <c r="U24" s="21" t="s">
        <v>53</v>
      </c>
      <c r="V24" s="21"/>
      <c r="W24" s="21" t="s">
        <v>53</v>
      </c>
      <c r="X24" s="21"/>
      <c r="Y24" s="21" t="s">
        <v>50</v>
      </c>
      <c r="Z24" s="21"/>
      <c r="AA24" s="21" t="s">
        <v>50</v>
      </c>
      <c r="AB24" s="21"/>
      <c r="AC24" s="21" t="s">
        <v>53</v>
      </c>
      <c r="AD24" s="21"/>
      <c r="AE24" s="21" t="s">
        <v>50</v>
      </c>
      <c r="AF24" s="21"/>
      <c r="AG24" s="21"/>
      <c r="AH24" s="21"/>
      <c r="AI24" s="21" t="s">
        <v>50</v>
      </c>
      <c r="AJ24" s="21"/>
      <c r="AK24" s="21" t="s">
        <v>53</v>
      </c>
      <c r="AL24" s="21"/>
      <c r="AM24" s="21" t="s">
        <v>53</v>
      </c>
      <c r="AN24" s="21"/>
      <c r="AO24" s="21" t="s">
        <v>50</v>
      </c>
      <c r="AP24" s="21"/>
    </row>
    <row r="25">
      <c r="A25" s="42" t="s">
        <v>81</v>
      </c>
      <c r="B25" s="8"/>
      <c r="C25" s="45" t="s">
        <v>53</v>
      </c>
      <c r="D25" s="21" t="s">
        <v>82</v>
      </c>
      <c r="E25" s="21" t="s">
        <v>53</v>
      </c>
      <c r="F25" s="21"/>
      <c r="G25" s="21"/>
      <c r="H25" s="21"/>
      <c r="I25" s="21"/>
      <c r="J25" s="21"/>
      <c r="K25" s="21" t="s">
        <v>53</v>
      </c>
      <c r="L25" s="21"/>
      <c r="M25" s="21" t="s">
        <v>53</v>
      </c>
      <c r="N25" s="21"/>
      <c r="O25" s="21" t="s">
        <v>53</v>
      </c>
      <c r="P25" s="21"/>
      <c r="Q25" s="21" t="s">
        <v>53</v>
      </c>
      <c r="R25" s="21"/>
      <c r="S25" s="21" t="s">
        <v>53</v>
      </c>
      <c r="T25" s="21"/>
      <c r="U25" s="21" t="s">
        <v>53</v>
      </c>
      <c r="V25" s="21"/>
      <c r="W25" s="21" t="s">
        <v>53</v>
      </c>
      <c r="X25" s="21"/>
      <c r="Y25" s="21" t="s">
        <v>50</v>
      </c>
      <c r="Z25" s="21"/>
      <c r="AA25" s="21" t="s">
        <v>50</v>
      </c>
      <c r="AB25" s="21"/>
      <c r="AC25" s="21" t="s">
        <v>53</v>
      </c>
      <c r="AD25" s="21"/>
      <c r="AE25" s="21" t="s">
        <v>50</v>
      </c>
      <c r="AF25" s="21"/>
      <c r="AG25" s="21"/>
      <c r="AH25" s="21"/>
      <c r="AI25" s="21" t="s">
        <v>50</v>
      </c>
      <c r="AJ25" s="21"/>
      <c r="AK25" s="21" t="s">
        <v>53</v>
      </c>
      <c r="AL25" s="21"/>
      <c r="AM25" s="21" t="s">
        <v>53</v>
      </c>
      <c r="AN25" s="21"/>
      <c r="AO25" s="21" t="s">
        <v>50</v>
      </c>
      <c r="AP25" s="21"/>
    </row>
    <row r="26">
      <c r="A26" s="42" t="s">
        <v>83</v>
      </c>
      <c r="B26" s="8"/>
      <c r="C26" s="45" t="s">
        <v>51</v>
      </c>
      <c r="D26" s="21" t="s">
        <v>84</v>
      </c>
      <c r="E26" s="21" t="s">
        <v>53</v>
      </c>
      <c r="F26" s="21"/>
      <c r="G26" s="21"/>
      <c r="H26" s="21"/>
      <c r="I26" s="21"/>
      <c r="J26" s="21"/>
      <c r="K26" s="21" t="s">
        <v>53</v>
      </c>
      <c r="L26" s="21"/>
      <c r="M26" s="21" t="s">
        <v>53</v>
      </c>
      <c r="N26" s="21"/>
      <c r="O26" s="21" t="s">
        <v>53</v>
      </c>
      <c r="P26" s="21"/>
      <c r="Q26" s="21" t="s">
        <v>53</v>
      </c>
      <c r="R26" s="21"/>
      <c r="S26" s="21" t="s">
        <v>53</v>
      </c>
      <c r="T26" s="21"/>
      <c r="U26" s="21" t="s">
        <v>53</v>
      </c>
      <c r="V26" s="21"/>
      <c r="W26" s="21" t="s">
        <v>53</v>
      </c>
      <c r="X26" s="21"/>
      <c r="Y26" s="21" t="s">
        <v>50</v>
      </c>
      <c r="Z26" s="21"/>
      <c r="AA26" s="21" t="s">
        <v>50</v>
      </c>
      <c r="AB26" s="21"/>
      <c r="AC26" s="21" t="s">
        <v>53</v>
      </c>
      <c r="AD26" s="21"/>
      <c r="AE26" s="21" t="s">
        <v>50</v>
      </c>
      <c r="AF26" s="21"/>
      <c r="AG26" s="21"/>
      <c r="AH26" s="21"/>
      <c r="AI26" s="21" t="s">
        <v>50</v>
      </c>
      <c r="AJ26" s="21"/>
      <c r="AK26" s="21" t="s">
        <v>53</v>
      </c>
      <c r="AL26" s="21"/>
      <c r="AM26" s="21" t="s">
        <v>53</v>
      </c>
      <c r="AN26" s="21"/>
      <c r="AO26" s="21" t="s">
        <v>50</v>
      </c>
      <c r="AP26" s="21"/>
    </row>
    <row r="27">
      <c r="A27" s="42" t="s">
        <v>85</v>
      </c>
      <c r="B27" s="8"/>
      <c r="C27" s="45"/>
      <c r="D27" s="21"/>
      <c r="E27" s="21"/>
      <c r="F27" s="21"/>
      <c r="G27" s="21"/>
      <c r="H27" s="21"/>
      <c r="I27" s="21"/>
      <c r="J27" s="21"/>
      <c r="K27" s="21" t="s">
        <v>53</v>
      </c>
      <c r="L27" s="21"/>
      <c r="M27" s="21" t="s">
        <v>53</v>
      </c>
      <c r="N27" s="21"/>
      <c r="O27" s="21" t="s">
        <v>53</v>
      </c>
      <c r="P27" s="21"/>
      <c r="Q27" s="21" t="s">
        <v>53</v>
      </c>
      <c r="R27" s="21"/>
      <c r="S27" s="21" t="s">
        <v>53</v>
      </c>
      <c r="T27" s="21"/>
      <c r="U27" s="21" t="s">
        <v>53</v>
      </c>
      <c r="V27" s="21"/>
      <c r="W27" s="21" t="s">
        <v>53</v>
      </c>
      <c r="X27" s="21"/>
      <c r="Y27" s="21" t="s">
        <v>50</v>
      </c>
      <c r="Z27" s="21"/>
      <c r="AA27" s="21" t="s">
        <v>50</v>
      </c>
      <c r="AB27" s="21"/>
      <c r="AC27" s="21" t="s">
        <v>53</v>
      </c>
      <c r="AD27" s="21"/>
      <c r="AE27" s="21" t="s">
        <v>50</v>
      </c>
      <c r="AF27" s="21"/>
      <c r="AG27" s="21"/>
      <c r="AH27" s="21"/>
      <c r="AI27" s="21" t="s">
        <v>50</v>
      </c>
      <c r="AJ27" s="21"/>
      <c r="AK27" s="21" t="s">
        <v>53</v>
      </c>
      <c r="AL27" s="21"/>
      <c r="AM27" s="21" t="s">
        <v>53</v>
      </c>
      <c r="AN27" s="21"/>
      <c r="AO27" s="21" t="s">
        <v>50</v>
      </c>
      <c r="AP27" s="21"/>
    </row>
    <row r="28">
      <c r="A28" s="42" t="s">
        <v>86</v>
      </c>
      <c r="B28" s="8"/>
      <c r="C28" s="45"/>
      <c r="D28" s="21"/>
      <c r="E28" s="21"/>
      <c r="F28" s="21"/>
      <c r="G28" s="21"/>
      <c r="H28" s="21"/>
      <c r="I28" s="21"/>
      <c r="J28" s="21"/>
      <c r="K28" s="21" t="s">
        <v>53</v>
      </c>
      <c r="L28" s="21"/>
      <c r="M28" s="21" t="s">
        <v>53</v>
      </c>
      <c r="N28" s="21"/>
      <c r="O28" s="21" t="s">
        <v>53</v>
      </c>
      <c r="P28" s="21"/>
      <c r="Q28" s="21" t="s">
        <v>53</v>
      </c>
      <c r="R28" s="21"/>
      <c r="S28" s="21" t="s">
        <v>53</v>
      </c>
      <c r="T28" s="21"/>
      <c r="U28" s="21" t="s">
        <v>53</v>
      </c>
      <c r="V28" s="21"/>
      <c r="W28" s="21" t="s">
        <v>53</v>
      </c>
      <c r="X28" s="21"/>
      <c r="Y28" s="21" t="s">
        <v>50</v>
      </c>
      <c r="Z28" s="21"/>
      <c r="AA28" s="21" t="s">
        <v>50</v>
      </c>
      <c r="AB28" s="21"/>
      <c r="AC28" s="21" t="s">
        <v>50</v>
      </c>
      <c r="AD28" s="21"/>
      <c r="AE28" s="21" t="s">
        <v>50</v>
      </c>
      <c r="AF28" s="21"/>
      <c r="AG28" s="21"/>
      <c r="AH28" s="21"/>
      <c r="AI28" s="21" t="s">
        <v>50</v>
      </c>
      <c r="AJ28" s="21"/>
      <c r="AK28" s="21" t="s">
        <v>53</v>
      </c>
      <c r="AL28" s="21"/>
      <c r="AM28" s="21" t="s">
        <v>53</v>
      </c>
      <c r="AN28" s="21"/>
      <c r="AO28" s="21" t="s">
        <v>50</v>
      </c>
      <c r="AP28" s="21"/>
    </row>
    <row r="29">
      <c r="A29" s="42" t="s">
        <v>87</v>
      </c>
      <c r="B29" s="8"/>
      <c r="C29" s="45"/>
      <c r="D29" s="21"/>
      <c r="E29" s="21"/>
      <c r="F29" s="21"/>
      <c r="G29" s="21"/>
      <c r="H29" s="21"/>
      <c r="I29" s="21"/>
      <c r="J29" s="21"/>
      <c r="K29" s="21" t="s">
        <v>53</v>
      </c>
      <c r="L29" s="21"/>
      <c r="M29" s="21" t="s">
        <v>53</v>
      </c>
      <c r="N29" s="21"/>
      <c r="O29" s="21" t="s">
        <v>53</v>
      </c>
      <c r="P29" s="21"/>
      <c r="Q29" s="21" t="s">
        <v>53</v>
      </c>
      <c r="R29" s="21"/>
      <c r="S29" s="21" t="s">
        <v>53</v>
      </c>
      <c r="T29" s="21"/>
      <c r="U29" s="21" t="s">
        <v>53</v>
      </c>
      <c r="V29" s="21"/>
      <c r="W29" s="21" t="s">
        <v>53</v>
      </c>
      <c r="X29" s="21"/>
      <c r="Y29" s="21" t="s">
        <v>50</v>
      </c>
      <c r="Z29" s="21"/>
      <c r="AA29" s="21" t="s">
        <v>50</v>
      </c>
      <c r="AB29" s="21"/>
      <c r="AC29" s="21" t="s">
        <v>50</v>
      </c>
      <c r="AD29" s="21"/>
      <c r="AE29" s="21" t="s">
        <v>50</v>
      </c>
      <c r="AF29" s="21"/>
      <c r="AG29" s="21"/>
      <c r="AH29" s="21"/>
      <c r="AI29" s="21" t="s">
        <v>50</v>
      </c>
      <c r="AJ29" s="21"/>
      <c r="AK29" s="21" t="s">
        <v>53</v>
      </c>
      <c r="AL29" s="21"/>
      <c r="AM29" s="21" t="s">
        <v>50</v>
      </c>
      <c r="AN29" s="21" t="s">
        <v>88</v>
      </c>
      <c r="AO29" s="21" t="s">
        <v>50</v>
      </c>
      <c r="AP29" s="21"/>
    </row>
    <row r="30">
      <c r="A30" s="42" t="s">
        <v>89</v>
      </c>
      <c r="B30" s="8"/>
      <c r="C30" s="45"/>
      <c r="D30" s="21"/>
      <c r="E30" s="21"/>
      <c r="F30" s="21"/>
      <c r="G30" s="21"/>
      <c r="H30" s="21"/>
      <c r="I30" s="21"/>
      <c r="J30" s="21"/>
      <c r="K30" s="21" t="s">
        <v>53</v>
      </c>
      <c r="L30" s="21"/>
      <c r="M30" s="21" t="s">
        <v>53</v>
      </c>
      <c r="N30" s="21"/>
      <c r="O30" s="21" t="s">
        <v>53</v>
      </c>
      <c r="P30" s="21"/>
      <c r="Q30" s="21" t="s">
        <v>53</v>
      </c>
      <c r="R30" s="21"/>
      <c r="S30" s="21" t="s">
        <v>53</v>
      </c>
      <c r="T30" s="21"/>
      <c r="U30" s="21" t="s">
        <v>53</v>
      </c>
      <c r="V30" s="21"/>
      <c r="W30" s="21" t="s">
        <v>53</v>
      </c>
      <c r="X30" s="21"/>
      <c r="Y30" s="21" t="s">
        <v>50</v>
      </c>
      <c r="Z30" s="21"/>
      <c r="AA30" s="21" t="s">
        <v>50</v>
      </c>
      <c r="AB30" s="21"/>
      <c r="AC30" s="21" t="s">
        <v>50</v>
      </c>
      <c r="AD30" s="21"/>
      <c r="AE30" s="21" t="s">
        <v>50</v>
      </c>
      <c r="AF30" s="21"/>
      <c r="AG30" s="21"/>
      <c r="AH30" s="21"/>
      <c r="AI30" s="21" t="s">
        <v>50</v>
      </c>
      <c r="AJ30" s="21"/>
      <c r="AK30" s="21" t="s">
        <v>53</v>
      </c>
      <c r="AL30" s="21"/>
      <c r="AM30" s="21" t="s">
        <v>50</v>
      </c>
      <c r="AN30" s="21" t="s">
        <v>90</v>
      </c>
      <c r="AO30" s="21" t="s">
        <v>50</v>
      </c>
      <c r="AP30" s="21"/>
    </row>
    <row r="31">
      <c r="A31" s="42" t="s">
        <v>91</v>
      </c>
      <c r="B31" s="8"/>
      <c r="C31" s="45"/>
      <c r="D31" s="21"/>
      <c r="E31" s="21"/>
      <c r="F31" s="21"/>
      <c r="G31" s="21"/>
      <c r="H31" s="21"/>
      <c r="I31" s="21"/>
      <c r="J31" s="21"/>
      <c r="K31" s="21" t="s">
        <v>53</v>
      </c>
      <c r="L31" s="21"/>
      <c r="M31" s="21" t="s">
        <v>53</v>
      </c>
      <c r="N31" s="21"/>
      <c r="O31" s="21" t="s">
        <v>53</v>
      </c>
      <c r="P31" s="21"/>
      <c r="Q31" s="21" t="s">
        <v>53</v>
      </c>
      <c r="R31" s="21"/>
      <c r="S31" s="21" t="s">
        <v>53</v>
      </c>
      <c r="T31" s="21"/>
      <c r="U31" s="21" t="s">
        <v>53</v>
      </c>
      <c r="V31" s="21"/>
      <c r="W31" s="21" t="s">
        <v>53</v>
      </c>
      <c r="X31" s="21"/>
      <c r="Y31" s="21" t="s">
        <v>50</v>
      </c>
      <c r="Z31" s="21"/>
      <c r="AA31" s="21" t="s">
        <v>50</v>
      </c>
      <c r="AB31" s="21"/>
      <c r="AC31" s="21" t="s">
        <v>50</v>
      </c>
      <c r="AD31" s="21"/>
      <c r="AE31" s="21"/>
      <c r="AF31" s="21"/>
      <c r="AG31" s="21"/>
      <c r="AH31" s="21"/>
      <c r="AI31" s="21" t="s">
        <v>50</v>
      </c>
      <c r="AJ31" s="21"/>
      <c r="AK31" s="21" t="s">
        <v>53</v>
      </c>
      <c r="AL31" s="21"/>
      <c r="AM31" s="21" t="s">
        <v>51</v>
      </c>
      <c r="AN31" s="21" t="s">
        <v>92</v>
      </c>
      <c r="AO31" s="21" t="s">
        <v>50</v>
      </c>
      <c r="AP31" s="21"/>
    </row>
    <row r="32">
      <c r="A32" s="42" t="s">
        <v>93</v>
      </c>
      <c r="B32" s="8"/>
      <c r="C32" s="45"/>
      <c r="D32" s="21"/>
      <c r="E32" s="21"/>
      <c r="F32" s="21"/>
      <c r="G32" s="21"/>
      <c r="H32" s="21"/>
      <c r="I32" s="21"/>
      <c r="J32" s="21"/>
      <c r="K32" s="21" t="s">
        <v>53</v>
      </c>
      <c r="L32" s="21"/>
      <c r="M32" s="21" t="s">
        <v>53</v>
      </c>
      <c r="N32" s="21"/>
      <c r="O32" s="21" t="s">
        <v>53</v>
      </c>
      <c r="P32" s="21"/>
      <c r="Q32" s="21" t="s">
        <v>53</v>
      </c>
      <c r="R32" s="21"/>
      <c r="S32" s="21" t="s">
        <v>53</v>
      </c>
      <c r="T32" s="21"/>
      <c r="U32" s="21" t="s">
        <v>53</v>
      </c>
      <c r="V32" s="21"/>
      <c r="W32" s="21" t="s">
        <v>53</v>
      </c>
      <c r="X32" s="21"/>
      <c r="Y32" s="21" t="s">
        <v>50</v>
      </c>
      <c r="Z32" s="21"/>
      <c r="AA32" s="21" t="s">
        <v>50</v>
      </c>
      <c r="AB32" s="21"/>
      <c r="AC32" s="21" t="s">
        <v>50</v>
      </c>
      <c r="AD32" s="21"/>
      <c r="AE32" s="21"/>
      <c r="AF32" s="21"/>
      <c r="AG32" s="21"/>
      <c r="AH32" s="21"/>
      <c r="AI32" s="21" t="s">
        <v>50</v>
      </c>
      <c r="AJ32" s="21"/>
      <c r="AK32" s="21" t="s">
        <v>53</v>
      </c>
      <c r="AL32" s="21"/>
      <c r="AM32" s="21" t="s">
        <v>53</v>
      </c>
      <c r="AN32" s="21"/>
      <c r="AO32" s="21" t="s">
        <v>50</v>
      </c>
      <c r="AP32" s="21"/>
    </row>
    <row r="33">
      <c r="A33" s="42" t="s">
        <v>94</v>
      </c>
      <c r="B33" s="8"/>
      <c r="C33" s="45"/>
      <c r="D33" s="21"/>
      <c r="E33" s="21"/>
      <c r="F33" s="21"/>
      <c r="G33" s="21"/>
      <c r="H33" s="21"/>
      <c r="I33" s="21"/>
      <c r="J33" s="21"/>
      <c r="K33" s="21" t="s">
        <v>53</v>
      </c>
      <c r="L33" s="21"/>
      <c r="M33" s="21" t="s">
        <v>53</v>
      </c>
      <c r="N33" s="21"/>
      <c r="O33" s="21" t="s">
        <v>53</v>
      </c>
      <c r="P33" s="21"/>
      <c r="Q33" s="21" t="s">
        <v>53</v>
      </c>
      <c r="R33" s="21"/>
      <c r="S33" s="21" t="s">
        <v>53</v>
      </c>
      <c r="T33" s="21"/>
      <c r="U33" s="21" t="s">
        <v>53</v>
      </c>
      <c r="V33" s="21"/>
      <c r="W33" s="21" t="s">
        <v>53</v>
      </c>
      <c r="X33" s="21"/>
      <c r="Y33" s="21" t="s">
        <v>50</v>
      </c>
      <c r="Z33" s="21"/>
      <c r="AA33" s="21" t="s">
        <v>50</v>
      </c>
      <c r="AB33" s="21"/>
      <c r="AC33" s="21" t="s">
        <v>50</v>
      </c>
      <c r="AD33" s="21"/>
      <c r="AE33" s="21"/>
      <c r="AF33" s="21"/>
      <c r="AG33" s="21"/>
      <c r="AH33" s="21"/>
      <c r="AI33" s="21" t="s">
        <v>50</v>
      </c>
      <c r="AJ33" s="21"/>
      <c r="AK33" s="21" t="s">
        <v>53</v>
      </c>
      <c r="AL33" s="21"/>
      <c r="AM33" s="21" t="s">
        <v>53</v>
      </c>
      <c r="AN33" s="21"/>
      <c r="AO33" s="21" t="s">
        <v>50</v>
      </c>
      <c r="AP33" s="21"/>
    </row>
    <row r="34">
      <c r="A34" s="42" t="s">
        <v>95</v>
      </c>
      <c r="B34" s="8"/>
      <c r="C34" s="45"/>
      <c r="D34" s="21"/>
      <c r="E34" s="21"/>
      <c r="F34" s="21"/>
      <c r="G34" s="21"/>
      <c r="H34" s="21"/>
      <c r="I34" s="21"/>
      <c r="J34" s="21"/>
      <c r="K34" s="21" t="s">
        <v>53</v>
      </c>
      <c r="L34" s="21"/>
      <c r="M34" s="21" t="s">
        <v>53</v>
      </c>
      <c r="N34" s="21"/>
      <c r="O34" s="21" t="s">
        <v>53</v>
      </c>
      <c r="P34" s="21"/>
      <c r="Q34" s="21" t="s">
        <v>53</v>
      </c>
      <c r="R34" s="21"/>
      <c r="S34" s="21" t="s">
        <v>53</v>
      </c>
      <c r="T34" s="21"/>
      <c r="U34" s="21" t="s">
        <v>53</v>
      </c>
      <c r="V34" s="21"/>
      <c r="W34" s="21" t="s">
        <v>53</v>
      </c>
      <c r="X34" s="21"/>
      <c r="Y34" s="21" t="s">
        <v>50</v>
      </c>
      <c r="Z34" s="21"/>
      <c r="AA34" s="21" t="s">
        <v>50</v>
      </c>
      <c r="AB34" s="21"/>
      <c r="AC34" s="21" t="s">
        <v>50</v>
      </c>
      <c r="AD34" s="21"/>
      <c r="AE34" s="21"/>
      <c r="AF34" s="21"/>
      <c r="AG34" s="21"/>
      <c r="AH34" s="21"/>
      <c r="AI34" s="21" t="s">
        <v>50</v>
      </c>
      <c r="AJ34" s="21"/>
      <c r="AK34" s="21" t="s">
        <v>53</v>
      </c>
      <c r="AL34" s="21"/>
      <c r="AM34" s="21" t="s">
        <v>53</v>
      </c>
      <c r="AN34" s="21"/>
      <c r="AO34" s="21" t="s">
        <v>50</v>
      </c>
      <c r="AP34" s="21"/>
    </row>
    <row r="35">
      <c r="A35" s="42" t="s">
        <v>96</v>
      </c>
      <c r="B35" s="8"/>
      <c r="C35" s="45"/>
      <c r="D35" s="21"/>
      <c r="E35" s="21"/>
      <c r="F35" s="21"/>
      <c r="G35" s="21"/>
      <c r="H35" s="21"/>
      <c r="I35" s="21"/>
      <c r="J35" s="21"/>
      <c r="K35" s="21" t="s">
        <v>53</v>
      </c>
      <c r="L35" s="21"/>
      <c r="M35" s="21" t="s">
        <v>53</v>
      </c>
      <c r="N35" s="21"/>
      <c r="O35" s="21" t="s">
        <v>53</v>
      </c>
      <c r="P35" s="21"/>
      <c r="Q35" s="21" t="s">
        <v>53</v>
      </c>
      <c r="R35" s="21"/>
      <c r="S35" s="21" t="s">
        <v>53</v>
      </c>
      <c r="T35" s="21"/>
      <c r="U35" s="21" t="s">
        <v>53</v>
      </c>
      <c r="V35" s="21"/>
      <c r="W35" s="21" t="s">
        <v>53</v>
      </c>
      <c r="X35" s="21"/>
      <c r="Y35" s="21" t="s">
        <v>50</v>
      </c>
      <c r="Z35" s="21"/>
      <c r="AA35" s="21" t="s">
        <v>50</v>
      </c>
      <c r="AB35" s="21"/>
      <c r="AC35" s="21" t="s">
        <v>50</v>
      </c>
      <c r="AD35" s="21"/>
      <c r="AE35" s="21"/>
      <c r="AF35" s="21"/>
      <c r="AG35" s="21"/>
      <c r="AH35" s="21"/>
      <c r="AI35" s="21" t="s">
        <v>50</v>
      </c>
      <c r="AJ35" s="21"/>
      <c r="AK35" s="21" t="s">
        <v>53</v>
      </c>
      <c r="AL35" s="21"/>
      <c r="AM35" s="21" t="s">
        <v>53</v>
      </c>
      <c r="AN35" s="21"/>
      <c r="AO35" s="21" t="s">
        <v>50</v>
      </c>
      <c r="AP35" s="21"/>
    </row>
    <row r="36">
      <c r="A36" s="42" t="s">
        <v>97</v>
      </c>
      <c r="B36" s="8"/>
      <c r="C36" s="45"/>
      <c r="D36" s="21"/>
      <c r="E36" s="21"/>
      <c r="F36" s="21"/>
      <c r="G36" s="21"/>
      <c r="H36" s="21"/>
      <c r="I36" s="21"/>
      <c r="J36" s="21"/>
      <c r="K36" s="21" t="s">
        <v>53</v>
      </c>
      <c r="L36" s="21"/>
      <c r="M36" s="21" t="s">
        <v>53</v>
      </c>
      <c r="N36" s="21"/>
      <c r="O36" s="21" t="s">
        <v>53</v>
      </c>
      <c r="P36" s="21"/>
      <c r="Q36" s="21" t="s">
        <v>53</v>
      </c>
      <c r="R36" s="21"/>
      <c r="S36" s="21" t="s">
        <v>53</v>
      </c>
      <c r="T36" s="21"/>
      <c r="U36" s="21" t="s">
        <v>53</v>
      </c>
      <c r="V36" s="21"/>
      <c r="W36" s="21" t="s">
        <v>53</v>
      </c>
      <c r="X36" s="21"/>
      <c r="Y36" s="21" t="s">
        <v>50</v>
      </c>
      <c r="Z36" s="21"/>
      <c r="AA36" s="21" t="s">
        <v>50</v>
      </c>
      <c r="AB36" s="21"/>
      <c r="AC36" s="21" t="s">
        <v>50</v>
      </c>
      <c r="AD36" s="21"/>
      <c r="AE36" s="21"/>
      <c r="AF36" s="21"/>
      <c r="AG36" s="21"/>
      <c r="AH36" s="21"/>
      <c r="AI36" s="21" t="s">
        <v>50</v>
      </c>
      <c r="AJ36" s="21"/>
      <c r="AK36" s="21" t="s">
        <v>53</v>
      </c>
      <c r="AL36" s="21"/>
      <c r="AM36" s="21" t="s">
        <v>51</v>
      </c>
      <c r="AN36" s="21" t="s">
        <v>98</v>
      </c>
      <c r="AO36" s="21" t="s">
        <v>50</v>
      </c>
      <c r="AP36" s="21"/>
    </row>
    <row r="37">
      <c r="A37" s="42" t="s">
        <v>99</v>
      </c>
      <c r="B37" s="8"/>
      <c r="C37" s="45"/>
      <c r="D37" s="21"/>
      <c r="E37" s="21"/>
      <c r="F37" s="21"/>
      <c r="G37" s="21"/>
      <c r="H37" s="21"/>
      <c r="I37" s="21"/>
      <c r="J37" s="21"/>
      <c r="K37" s="21" t="s">
        <v>53</v>
      </c>
      <c r="L37" s="21"/>
      <c r="M37" s="21" t="s">
        <v>53</v>
      </c>
      <c r="N37" s="21"/>
      <c r="O37" s="21" t="s">
        <v>53</v>
      </c>
      <c r="P37" s="21"/>
      <c r="Q37" s="21" t="s">
        <v>53</v>
      </c>
      <c r="R37" s="21"/>
      <c r="S37" s="21" t="s">
        <v>53</v>
      </c>
      <c r="T37" s="21"/>
      <c r="U37" s="21" t="s">
        <v>53</v>
      </c>
      <c r="V37" s="21"/>
      <c r="W37" s="21" t="s">
        <v>53</v>
      </c>
      <c r="X37" s="21"/>
      <c r="Y37" s="21" t="s">
        <v>50</v>
      </c>
      <c r="Z37" s="21"/>
      <c r="AA37" s="21" t="s">
        <v>50</v>
      </c>
      <c r="AB37" s="21"/>
      <c r="AC37" s="21" t="s">
        <v>50</v>
      </c>
      <c r="AD37" s="21"/>
      <c r="AE37" s="21"/>
      <c r="AF37" s="21"/>
      <c r="AG37" s="21"/>
      <c r="AH37" s="21"/>
      <c r="AI37" s="21" t="s">
        <v>50</v>
      </c>
      <c r="AJ37" s="21"/>
      <c r="AK37" s="21" t="s">
        <v>53</v>
      </c>
      <c r="AL37" s="21"/>
      <c r="AM37" s="21" t="s">
        <v>51</v>
      </c>
      <c r="AN37" s="21" t="s">
        <v>100</v>
      </c>
      <c r="AO37" s="21" t="s">
        <v>50</v>
      </c>
      <c r="AP37" s="21"/>
    </row>
    <row r="38">
      <c r="A38" s="42" t="s">
        <v>101</v>
      </c>
      <c r="B38" s="8"/>
      <c r="C38" s="45"/>
      <c r="D38" s="21"/>
      <c r="E38" s="21"/>
      <c r="F38" s="21"/>
      <c r="G38" s="21"/>
      <c r="H38" s="21"/>
      <c r="I38" s="21"/>
      <c r="J38" s="21"/>
      <c r="K38" s="21" t="s">
        <v>53</v>
      </c>
      <c r="L38" s="21"/>
      <c r="M38" s="21" t="s">
        <v>53</v>
      </c>
      <c r="N38" s="21"/>
      <c r="O38" s="21" t="s">
        <v>53</v>
      </c>
      <c r="P38" s="21"/>
      <c r="Q38" s="21" t="s">
        <v>53</v>
      </c>
      <c r="R38" s="21"/>
      <c r="S38" s="21" t="s">
        <v>53</v>
      </c>
      <c r="T38" s="21"/>
      <c r="U38" s="21" t="s">
        <v>53</v>
      </c>
      <c r="V38" s="21"/>
      <c r="W38" s="21" t="s">
        <v>53</v>
      </c>
      <c r="X38" s="21"/>
      <c r="Y38" s="21" t="s">
        <v>50</v>
      </c>
      <c r="Z38" s="21"/>
      <c r="AA38" s="21" t="s">
        <v>50</v>
      </c>
      <c r="AB38" s="21"/>
      <c r="AC38" s="21" t="s">
        <v>50</v>
      </c>
      <c r="AD38" s="21"/>
      <c r="AE38" s="21"/>
      <c r="AF38" s="21"/>
      <c r="AG38" s="21"/>
      <c r="AH38" s="21"/>
      <c r="AI38" s="21" t="s">
        <v>50</v>
      </c>
      <c r="AJ38" s="21"/>
      <c r="AK38" s="21" t="s">
        <v>53</v>
      </c>
      <c r="AL38" s="21"/>
      <c r="AM38" s="21" t="s">
        <v>53</v>
      </c>
      <c r="AN38" s="21"/>
      <c r="AO38" s="21" t="s">
        <v>50</v>
      </c>
      <c r="AP38" s="21"/>
    </row>
    <row r="39">
      <c r="A39" s="42" t="s">
        <v>102</v>
      </c>
      <c r="B39" s="8"/>
      <c r="C39" s="45"/>
      <c r="D39" s="21"/>
      <c r="E39" s="21"/>
      <c r="F39" s="21"/>
      <c r="G39" s="21"/>
      <c r="H39" s="21"/>
      <c r="I39" s="21"/>
      <c r="J39" s="21"/>
      <c r="K39" s="21" t="s">
        <v>53</v>
      </c>
      <c r="L39" s="21"/>
      <c r="M39" s="21" t="s">
        <v>53</v>
      </c>
      <c r="N39" s="21"/>
      <c r="O39" s="21" t="s">
        <v>53</v>
      </c>
      <c r="P39" s="21"/>
      <c r="Q39" s="21" t="s">
        <v>53</v>
      </c>
      <c r="R39" s="21"/>
      <c r="S39" s="21" t="s">
        <v>53</v>
      </c>
      <c r="T39" s="21"/>
      <c r="U39" s="21" t="s">
        <v>53</v>
      </c>
      <c r="V39" s="21"/>
      <c r="W39" s="21" t="s">
        <v>53</v>
      </c>
      <c r="X39" s="21"/>
      <c r="Y39" s="21" t="s">
        <v>50</v>
      </c>
      <c r="Z39" s="21"/>
      <c r="AA39" s="21" t="s">
        <v>50</v>
      </c>
      <c r="AB39" s="21"/>
      <c r="AC39" s="21" t="s">
        <v>50</v>
      </c>
      <c r="AD39" s="21"/>
      <c r="AE39" s="21"/>
      <c r="AF39" s="21"/>
      <c r="AG39" s="21"/>
      <c r="AH39" s="21"/>
      <c r="AI39" s="21" t="s">
        <v>50</v>
      </c>
      <c r="AJ39" s="21"/>
      <c r="AK39" s="21" t="s">
        <v>53</v>
      </c>
      <c r="AL39" s="21"/>
      <c r="AM39" s="21" t="s">
        <v>53</v>
      </c>
      <c r="AN39" s="21"/>
      <c r="AO39" s="21" t="s">
        <v>50</v>
      </c>
      <c r="AP39" s="21"/>
    </row>
    <row r="40">
      <c r="A40" s="42" t="s">
        <v>103</v>
      </c>
      <c r="B40" s="8"/>
      <c r="C40" s="45"/>
      <c r="D40" s="21"/>
      <c r="E40" s="21"/>
      <c r="F40" s="21"/>
      <c r="G40" s="21"/>
      <c r="H40" s="21"/>
      <c r="I40" s="21"/>
      <c r="J40" s="21"/>
      <c r="K40" s="21" t="s">
        <v>53</v>
      </c>
      <c r="L40" s="21"/>
      <c r="M40" s="21" t="s">
        <v>53</v>
      </c>
      <c r="N40" s="21"/>
      <c r="O40" s="21" t="s">
        <v>53</v>
      </c>
      <c r="P40" s="21"/>
      <c r="Q40" s="21" t="s">
        <v>53</v>
      </c>
      <c r="R40" s="21"/>
      <c r="S40" s="21" t="s">
        <v>53</v>
      </c>
      <c r="T40" s="21"/>
      <c r="U40" s="21" t="s">
        <v>53</v>
      </c>
      <c r="V40" s="21"/>
      <c r="W40" s="21" t="s">
        <v>53</v>
      </c>
      <c r="X40" s="21"/>
      <c r="Y40" s="21" t="s">
        <v>50</v>
      </c>
      <c r="Z40" s="21"/>
      <c r="AA40" s="21" t="s">
        <v>50</v>
      </c>
      <c r="AB40" s="21"/>
      <c r="AC40" s="21" t="s">
        <v>50</v>
      </c>
      <c r="AD40" s="21"/>
      <c r="AE40" s="21"/>
      <c r="AF40" s="21"/>
      <c r="AG40" s="21"/>
      <c r="AH40" s="21"/>
      <c r="AI40" s="21" t="s">
        <v>50</v>
      </c>
      <c r="AJ40" s="21"/>
      <c r="AK40" s="21" t="s">
        <v>53</v>
      </c>
      <c r="AL40" s="21"/>
      <c r="AM40" s="21" t="s">
        <v>53</v>
      </c>
      <c r="AN40" s="21"/>
      <c r="AO40" s="21" t="s">
        <v>50</v>
      </c>
      <c r="AP40" s="21"/>
    </row>
    <row r="41">
      <c r="A41" s="42" t="s">
        <v>104</v>
      </c>
      <c r="B41" s="8"/>
      <c r="C41" s="45"/>
      <c r="D41" s="21"/>
      <c r="E41" s="21"/>
      <c r="F41" s="21"/>
      <c r="G41" s="21"/>
      <c r="H41" s="21"/>
      <c r="I41" s="21"/>
      <c r="J41" s="21"/>
      <c r="K41" s="21" t="s">
        <v>53</v>
      </c>
      <c r="L41" s="21"/>
      <c r="M41" s="21" t="s">
        <v>53</v>
      </c>
      <c r="N41" s="21"/>
      <c r="O41" s="21" t="s">
        <v>53</v>
      </c>
      <c r="P41" s="21"/>
      <c r="Q41" s="21" t="s">
        <v>53</v>
      </c>
      <c r="R41" s="21"/>
      <c r="S41" s="21" t="s">
        <v>53</v>
      </c>
      <c r="T41" s="21"/>
      <c r="U41" s="21" t="s">
        <v>53</v>
      </c>
      <c r="V41" s="21"/>
      <c r="W41" s="21" t="s">
        <v>53</v>
      </c>
      <c r="X41" s="21"/>
      <c r="Y41" s="21" t="s">
        <v>50</v>
      </c>
      <c r="Z41" s="21"/>
      <c r="AA41" s="21" t="s">
        <v>50</v>
      </c>
      <c r="AB41" s="21"/>
      <c r="AC41" s="21" t="s">
        <v>50</v>
      </c>
      <c r="AD41" s="21"/>
      <c r="AE41" s="21"/>
      <c r="AF41" s="21"/>
      <c r="AG41" s="21"/>
      <c r="AH41" s="21"/>
      <c r="AI41" s="21" t="s">
        <v>50</v>
      </c>
      <c r="AJ41" s="21"/>
      <c r="AK41" s="21" t="s">
        <v>53</v>
      </c>
      <c r="AL41" s="21"/>
      <c r="AM41" s="21" t="s">
        <v>53</v>
      </c>
      <c r="AN41" s="21"/>
      <c r="AO41" s="21"/>
      <c r="AP41" s="21"/>
    </row>
    <row r="42">
      <c r="A42" s="42" t="s">
        <v>105</v>
      </c>
      <c r="B42" s="8"/>
      <c r="C42" s="21"/>
      <c r="D42" s="21"/>
      <c r="E42" s="21"/>
      <c r="F42" s="21"/>
      <c r="G42" s="21"/>
      <c r="H42" s="21"/>
      <c r="I42" s="21"/>
      <c r="J42" s="21"/>
      <c r="K42" s="21" t="s">
        <v>53</v>
      </c>
      <c r="L42" s="21"/>
      <c r="M42" s="21" t="s">
        <v>53</v>
      </c>
      <c r="N42" s="21"/>
      <c r="O42" s="21" t="s">
        <v>53</v>
      </c>
      <c r="P42" s="21"/>
      <c r="Q42" s="21" t="s">
        <v>53</v>
      </c>
      <c r="R42" s="21"/>
      <c r="S42" s="21" t="s">
        <v>51</v>
      </c>
      <c r="T42" s="21" t="s">
        <v>106</v>
      </c>
      <c r="U42" s="21" t="s">
        <v>53</v>
      </c>
      <c r="V42" s="21"/>
      <c r="W42" s="21" t="s">
        <v>53</v>
      </c>
      <c r="X42" s="21"/>
      <c r="Y42" s="21" t="s">
        <v>50</v>
      </c>
      <c r="Z42" s="21"/>
      <c r="AA42" s="21" t="s">
        <v>50</v>
      </c>
      <c r="AB42" s="21"/>
      <c r="AC42" s="21" t="s">
        <v>50</v>
      </c>
      <c r="AD42" s="21"/>
      <c r="AE42" s="21"/>
      <c r="AF42" s="21"/>
      <c r="AG42" s="21"/>
      <c r="AH42" s="21"/>
      <c r="AI42" s="21" t="s">
        <v>50</v>
      </c>
      <c r="AJ42" s="21"/>
      <c r="AK42" s="21" t="s">
        <v>51</v>
      </c>
      <c r="AL42" s="21"/>
      <c r="AM42" s="21" t="s">
        <v>53</v>
      </c>
      <c r="AN42" s="21"/>
      <c r="AO42" s="21"/>
      <c r="AP42" s="21"/>
    </row>
    <row r="43">
      <c r="A43" s="42" t="s">
        <v>107</v>
      </c>
      <c r="B43" s="8"/>
      <c r="C43" s="21"/>
      <c r="D43" s="21"/>
      <c r="E43" s="21"/>
      <c r="F43" s="21"/>
      <c r="G43" s="21"/>
      <c r="H43" s="21"/>
      <c r="I43" s="21"/>
      <c r="J43" s="21"/>
      <c r="K43" s="21" t="s">
        <v>53</v>
      </c>
      <c r="L43" s="21"/>
      <c r="M43" s="21" t="s">
        <v>53</v>
      </c>
      <c r="N43" s="21"/>
      <c r="O43" s="21" t="s">
        <v>53</v>
      </c>
      <c r="P43" s="21"/>
      <c r="Q43" s="21" t="s">
        <v>53</v>
      </c>
      <c r="R43" s="21"/>
      <c r="S43" s="21" t="s">
        <v>51</v>
      </c>
      <c r="T43" s="21" t="s">
        <v>108</v>
      </c>
      <c r="U43" s="21" t="s">
        <v>53</v>
      </c>
      <c r="V43" s="21"/>
      <c r="W43" s="21" t="s">
        <v>53</v>
      </c>
      <c r="X43" s="21"/>
      <c r="Y43" s="21" t="s">
        <v>50</v>
      </c>
      <c r="Z43" s="21"/>
      <c r="AA43" s="21" t="s">
        <v>50</v>
      </c>
      <c r="AB43" s="21"/>
      <c r="AC43" s="21" t="s">
        <v>50</v>
      </c>
      <c r="AD43" s="21"/>
      <c r="AE43" s="21"/>
      <c r="AF43" s="21"/>
      <c r="AG43" s="21"/>
      <c r="AH43" s="21"/>
      <c r="AI43" s="21" t="s">
        <v>50</v>
      </c>
      <c r="AJ43" s="21"/>
      <c r="AK43" s="21" t="s">
        <v>53</v>
      </c>
      <c r="AL43" s="21"/>
      <c r="AM43" s="21" t="s">
        <v>53</v>
      </c>
      <c r="AN43" s="21"/>
      <c r="AO43" s="21"/>
      <c r="AP43" s="21"/>
    </row>
    <row r="44">
      <c r="A44" s="42" t="s">
        <v>109</v>
      </c>
      <c r="B44" s="8"/>
      <c r="C44" s="21"/>
      <c r="D44" s="21"/>
      <c r="E44" s="21"/>
      <c r="F44" s="21"/>
      <c r="G44" s="21"/>
      <c r="H44" s="21"/>
      <c r="I44" s="21"/>
      <c r="J44" s="21"/>
      <c r="K44" s="21" t="s">
        <v>53</v>
      </c>
      <c r="L44" s="21"/>
      <c r="M44" s="21" t="s">
        <v>53</v>
      </c>
      <c r="N44" s="21"/>
      <c r="O44" s="21" t="s">
        <v>53</v>
      </c>
      <c r="P44" s="21"/>
      <c r="Q44" s="21" t="s">
        <v>53</v>
      </c>
      <c r="R44" s="21"/>
      <c r="S44" s="21" t="s">
        <v>110</v>
      </c>
      <c r="T44" s="21" t="s">
        <v>111</v>
      </c>
      <c r="U44" s="21" t="s">
        <v>53</v>
      </c>
      <c r="V44" s="21"/>
      <c r="W44" s="21" t="s">
        <v>53</v>
      </c>
      <c r="X44" s="21"/>
      <c r="Y44" s="21" t="s">
        <v>50</v>
      </c>
      <c r="Z44" s="21"/>
      <c r="AA44" s="21" t="s">
        <v>50</v>
      </c>
      <c r="AB44" s="21"/>
      <c r="AC44" s="21" t="s">
        <v>50</v>
      </c>
      <c r="AD44" s="21"/>
      <c r="AE44" s="21"/>
      <c r="AF44" s="21"/>
      <c r="AG44" s="21"/>
      <c r="AH44" s="21"/>
      <c r="AI44" s="21" t="s">
        <v>50</v>
      </c>
      <c r="AJ44" s="21"/>
      <c r="AK44" s="21" t="s">
        <v>53</v>
      </c>
      <c r="AL44" s="21"/>
      <c r="AM44" s="21" t="s">
        <v>53</v>
      </c>
      <c r="AN44" s="21"/>
      <c r="AO44" s="21"/>
      <c r="AP44" s="21"/>
    </row>
    <row r="45">
      <c r="A45" s="42" t="s">
        <v>112</v>
      </c>
      <c r="B45" s="8"/>
      <c r="C45" s="21"/>
      <c r="D45" s="21"/>
      <c r="E45" s="21"/>
      <c r="F45" s="21"/>
      <c r="G45" s="21"/>
      <c r="H45" s="21"/>
      <c r="I45" s="21"/>
      <c r="J45" s="21"/>
      <c r="K45" s="21" t="s">
        <v>53</v>
      </c>
      <c r="L45" s="21"/>
      <c r="M45" s="21" t="s">
        <v>53</v>
      </c>
      <c r="N45" s="21"/>
      <c r="O45" s="21" t="s">
        <v>53</v>
      </c>
      <c r="P45" s="21"/>
      <c r="Q45" s="21" t="s">
        <v>53</v>
      </c>
      <c r="R45" s="21"/>
      <c r="S45" s="21" t="s">
        <v>50</v>
      </c>
      <c r="T45" s="21"/>
      <c r="U45" s="21" t="s">
        <v>53</v>
      </c>
      <c r="V45" s="21"/>
      <c r="W45" s="21" t="s">
        <v>53</v>
      </c>
      <c r="X45" s="21"/>
      <c r="Y45" s="21" t="s">
        <v>50</v>
      </c>
      <c r="Z45" s="21"/>
      <c r="AA45" s="21" t="s">
        <v>50</v>
      </c>
      <c r="AB45" s="21"/>
      <c r="AC45" s="21" t="s">
        <v>50</v>
      </c>
      <c r="AD45" s="21"/>
      <c r="AE45" s="21"/>
      <c r="AF45" s="21"/>
      <c r="AG45" s="21"/>
      <c r="AH45" s="21"/>
      <c r="AI45" s="21" t="s">
        <v>50</v>
      </c>
      <c r="AJ45" s="21"/>
      <c r="AK45" s="21" t="s">
        <v>53</v>
      </c>
      <c r="AL45" s="21"/>
      <c r="AM45" s="21" t="s">
        <v>53</v>
      </c>
      <c r="AN45" s="21"/>
      <c r="AO45" s="21"/>
      <c r="AP45" s="21"/>
    </row>
    <row r="46">
      <c r="A46" s="42" t="s">
        <v>113</v>
      </c>
      <c r="B46" s="8"/>
      <c r="C46" s="21"/>
      <c r="D46" s="21"/>
      <c r="E46" s="21"/>
      <c r="F46" s="21"/>
      <c r="G46" s="21"/>
      <c r="H46" s="21"/>
      <c r="I46" s="21"/>
      <c r="J46" s="21"/>
      <c r="K46" s="21" t="s">
        <v>53</v>
      </c>
      <c r="L46" s="21"/>
      <c r="M46" s="21" t="s">
        <v>53</v>
      </c>
      <c r="N46" s="21"/>
      <c r="O46" s="21" t="s">
        <v>53</v>
      </c>
      <c r="P46" s="21"/>
      <c r="Q46" s="21" t="s">
        <v>53</v>
      </c>
      <c r="R46" s="21"/>
      <c r="S46" s="21" t="s">
        <v>50</v>
      </c>
      <c r="T46" s="21"/>
      <c r="U46" s="21" t="s">
        <v>53</v>
      </c>
      <c r="V46" s="21"/>
      <c r="W46" s="21" t="s">
        <v>53</v>
      </c>
      <c r="X46" s="21"/>
      <c r="Y46" s="21" t="s">
        <v>50</v>
      </c>
      <c r="Z46" s="21"/>
      <c r="AA46" s="21" t="s">
        <v>50</v>
      </c>
      <c r="AB46" s="21"/>
      <c r="AC46" s="21" t="s">
        <v>50</v>
      </c>
      <c r="AD46" s="21"/>
      <c r="AE46" s="21"/>
      <c r="AF46" s="21"/>
      <c r="AG46" s="21"/>
      <c r="AH46" s="21"/>
      <c r="AI46" s="21" t="s">
        <v>50</v>
      </c>
      <c r="AJ46" s="21"/>
      <c r="AK46" s="21" t="s">
        <v>53</v>
      </c>
      <c r="AL46" s="21"/>
      <c r="AM46" s="21" t="s">
        <v>53</v>
      </c>
      <c r="AN46" s="21"/>
      <c r="AO46" s="21"/>
      <c r="AP46" s="21"/>
    </row>
    <row r="47">
      <c r="A47" s="42" t="s">
        <v>114</v>
      </c>
      <c r="B47" s="8"/>
      <c r="C47" s="21"/>
      <c r="D47" s="21"/>
      <c r="E47" s="21"/>
      <c r="F47" s="21"/>
      <c r="G47" s="21"/>
      <c r="H47" s="21"/>
      <c r="I47" s="21"/>
      <c r="J47" s="21"/>
      <c r="K47" s="21" t="s">
        <v>53</v>
      </c>
      <c r="L47" s="21"/>
      <c r="M47" s="21" t="s">
        <v>53</v>
      </c>
      <c r="N47" s="21"/>
      <c r="O47" s="21" t="s">
        <v>53</v>
      </c>
      <c r="P47" s="21"/>
      <c r="Q47" s="21" t="s">
        <v>53</v>
      </c>
      <c r="R47" s="21"/>
      <c r="S47" s="21" t="s">
        <v>50</v>
      </c>
      <c r="T47" s="21"/>
      <c r="U47" s="21" t="s">
        <v>53</v>
      </c>
      <c r="V47" s="21"/>
      <c r="W47" s="21" t="s">
        <v>53</v>
      </c>
      <c r="X47" s="21"/>
      <c r="Y47" s="21" t="s">
        <v>50</v>
      </c>
      <c r="Z47" s="21"/>
      <c r="AA47" s="21" t="s">
        <v>50</v>
      </c>
      <c r="AB47" s="21"/>
      <c r="AC47" s="21" t="s">
        <v>50</v>
      </c>
      <c r="AD47" s="21"/>
      <c r="AE47" s="21"/>
      <c r="AF47" s="21"/>
      <c r="AG47" s="21"/>
      <c r="AH47" s="21"/>
      <c r="AI47" s="21" t="s">
        <v>50</v>
      </c>
      <c r="AJ47" s="21"/>
      <c r="AK47" s="21" t="s">
        <v>53</v>
      </c>
      <c r="AL47" s="21"/>
      <c r="AM47" s="21" t="s">
        <v>53</v>
      </c>
      <c r="AN47" s="21"/>
      <c r="AO47" s="21"/>
      <c r="AP47" s="21"/>
    </row>
    <row r="48">
      <c r="A48" s="42" t="s">
        <v>115</v>
      </c>
      <c r="B48" s="8"/>
      <c r="C48" s="21"/>
      <c r="D48" s="21"/>
      <c r="E48" s="21"/>
      <c r="F48" s="21"/>
      <c r="G48" s="21"/>
      <c r="H48" s="21"/>
      <c r="I48" s="21"/>
      <c r="J48" s="21"/>
      <c r="K48" s="21" t="s">
        <v>53</v>
      </c>
      <c r="L48" s="21"/>
      <c r="M48" s="21" t="s">
        <v>53</v>
      </c>
      <c r="N48" s="21"/>
      <c r="O48" s="21" t="s">
        <v>53</v>
      </c>
      <c r="P48" s="21"/>
      <c r="Q48" s="21" t="s">
        <v>53</v>
      </c>
      <c r="R48" s="21"/>
      <c r="S48" s="21" t="s">
        <v>50</v>
      </c>
      <c r="T48" s="21"/>
      <c r="U48" s="21" t="s">
        <v>53</v>
      </c>
      <c r="V48" s="21"/>
      <c r="W48" s="21" t="s">
        <v>53</v>
      </c>
      <c r="X48" s="21"/>
      <c r="Y48" s="21" t="s">
        <v>50</v>
      </c>
      <c r="Z48" s="21"/>
      <c r="AA48" s="21" t="s">
        <v>50</v>
      </c>
      <c r="AB48" s="21"/>
      <c r="AC48" s="21" t="s">
        <v>50</v>
      </c>
      <c r="AD48" s="21"/>
      <c r="AE48" s="21"/>
      <c r="AF48" s="21"/>
      <c r="AG48" s="21"/>
      <c r="AH48" s="21"/>
      <c r="AI48" s="21" t="s">
        <v>50</v>
      </c>
      <c r="AJ48" s="21"/>
      <c r="AK48" s="21" t="s">
        <v>53</v>
      </c>
      <c r="AL48" s="21"/>
      <c r="AM48" s="21" t="s">
        <v>53</v>
      </c>
      <c r="AN48" s="21"/>
      <c r="AO48" s="21"/>
      <c r="AP48" s="21"/>
    </row>
    <row r="49">
      <c r="A49" s="42" t="s">
        <v>116</v>
      </c>
      <c r="B49" s="8"/>
      <c r="C49" s="21"/>
      <c r="D49" s="21"/>
      <c r="E49" s="21"/>
      <c r="F49" s="21"/>
      <c r="G49" s="21"/>
      <c r="H49" s="21"/>
      <c r="I49" s="21"/>
      <c r="J49" s="21"/>
      <c r="K49" s="21" t="s">
        <v>53</v>
      </c>
      <c r="L49" s="21"/>
      <c r="M49" s="21" t="s">
        <v>53</v>
      </c>
      <c r="N49" s="21"/>
      <c r="O49" s="21" t="s">
        <v>53</v>
      </c>
      <c r="P49" s="21"/>
      <c r="Q49" s="21" t="s">
        <v>53</v>
      </c>
      <c r="R49" s="21"/>
      <c r="S49" s="21" t="s">
        <v>50</v>
      </c>
      <c r="T49" s="21"/>
      <c r="U49" s="21" t="s">
        <v>53</v>
      </c>
      <c r="V49" s="21"/>
      <c r="W49" s="21" t="s">
        <v>53</v>
      </c>
      <c r="X49" s="21"/>
      <c r="Y49" s="21" t="s">
        <v>50</v>
      </c>
      <c r="Z49" s="21"/>
      <c r="AA49" s="21" t="s">
        <v>50</v>
      </c>
      <c r="AB49" s="21"/>
      <c r="AC49" s="21" t="s">
        <v>50</v>
      </c>
      <c r="AD49" s="21"/>
      <c r="AE49" s="21"/>
      <c r="AF49" s="21"/>
      <c r="AG49" s="21"/>
      <c r="AH49" s="21"/>
      <c r="AI49" s="21" t="s">
        <v>50</v>
      </c>
      <c r="AJ49" s="21"/>
      <c r="AK49" s="21" t="s">
        <v>53</v>
      </c>
      <c r="AL49" s="21"/>
      <c r="AM49" s="21" t="s">
        <v>53</v>
      </c>
      <c r="AN49" s="21"/>
      <c r="AO49" s="21"/>
      <c r="AP49" s="21"/>
    </row>
    <row r="50">
      <c r="A50" s="42" t="s">
        <v>117</v>
      </c>
      <c r="B50" s="8"/>
      <c r="C50" s="21"/>
      <c r="D50" s="21"/>
      <c r="E50" s="21"/>
      <c r="F50" s="21"/>
      <c r="G50" s="21"/>
      <c r="H50" s="21"/>
      <c r="I50" s="21"/>
      <c r="J50" s="21"/>
      <c r="K50" s="21" t="s">
        <v>51</v>
      </c>
      <c r="L50" s="21" t="s">
        <v>118</v>
      </c>
      <c r="M50" s="21" t="s">
        <v>53</v>
      </c>
      <c r="N50" s="21"/>
      <c r="O50" s="21" t="s">
        <v>53</v>
      </c>
      <c r="P50" s="21"/>
      <c r="Q50" s="21" t="s">
        <v>53</v>
      </c>
      <c r="R50" s="21"/>
      <c r="S50" s="21" t="s">
        <v>50</v>
      </c>
      <c r="T50" s="21"/>
      <c r="U50" s="21" t="s">
        <v>53</v>
      </c>
      <c r="V50" s="21"/>
      <c r="W50" s="21" t="s">
        <v>53</v>
      </c>
      <c r="X50" s="21"/>
      <c r="Y50" s="21" t="s">
        <v>50</v>
      </c>
      <c r="Z50" s="21"/>
      <c r="AA50" s="21" t="s">
        <v>50</v>
      </c>
      <c r="AB50" s="21"/>
      <c r="AC50" s="21" t="s">
        <v>50</v>
      </c>
      <c r="AD50" s="21"/>
      <c r="AE50" s="21"/>
      <c r="AF50" s="21"/>
      <c r="AG50" s="21"/>
      <c r="AH50" s="21"/>
      <c r="AI50" s="21" t="s">
        <v>50</v>
      </c>
      <c r="AJ50" s="21"/>
      <c r="AK50" s="21" t="s">
        <v>53</v>
      </c>
      <c r="AL50" s="21"/>
      <c r="AM50" s="21" t="s">
        <v>53</v>
      </c>
      <c r="AN50" s="21"/>
      <c r="AO50" s="21"/>
      <c r="AP50" s="21"/>
    </row>
    <row r="51">
      <c r="A51" s="42" t="s">
        <v>119</v>
      </c>
      <c r="B51" s="8"/>
      <c r="C51" s="21"/>
      <c r="D51" s="21"/>
      <c r="E51" s="21"/>
      <c r="F51" s="21"/>
      <c r="G51" s="21"/>
      <c r="H51" s="21"/>
      <c r="I51" s="21"/>
      <c r="J51" s="21"/>
      <c r="K51" s="21" t="s">
        <v>53</v>
      </c>
      <c r="L51" s="21"/>
      <c r="M51" s="21" t="s">
        <v>53</v>
      </c>
      <c r="N51" s="21"/>
      <c r="O51" s="21" t="s">
        <v>53</v>
      </c>
      <c r="P51" s="21"/>
      <c r="Q51" s="21" t="s">
        <v>53</v>
      </c>
      <c r="R51" s="21"/>
      <c r="S51" s="21" t="s">
        <v>50</v>
      </c>
      <c r="T51" s="21"/>
      <c r="U51" s="21" t="s">
        <v>53</v>
      </c>
      <c r="V51" s="21"/>
      <c r="W51" s="21" t="s">
        <v>53</v>
      </c>
      <c r="X51" s="21"/>
      <c r="Y51" s="21" t="s">
        <v>50</v>
      </c>
      <c r="Z51" s="21"/>
      <c r="AA51" s="21" t="s">
        <v>50</v>
      </c>
      <c r="AB51" s="21"/>
      <c r="AC51" s="21" t="s">
        <v>50</v>
      </c>
      <c r="AD51" s="21"/>
      <c r="AE51" s="21"/>
      <c r="AF51" s="21"/>
      <c r="AG51" s="21"/>
      <c r="AH51" s="21"/>
      <c r="AI51" s="21" t="s">
        <v>50</v>
      </c>
      <c r="AJ51" s="21"/>
      <c r="AK51" s="21" t="s">
        <v>53</v>
      </c>
      <c r="AL51" s="21"/>
      <c r="AM51" s="21" t="s">
        <v>53</v>
      </c>
      <c r="AN51" s="21"/>
      <c r="AO51" s="21"/>
      <c r="AP51" s="21"/>
    </row>
    <row r="52">
      <c r="A52" s="42" t="s">
        <v>120</v>
      </c>
      <c r="B52" s="8"/>
      <c r="C52" s="21"/>
      <c r="D52" s="21"/>
      <c r="E52" s="21"/>
      <c r="F52" s="21"/>
      <c r="G52" s="21"/>
      <c r="H52" s="21"/>
      <c r="I52" s="21"/>
      <c r="J52" s="21"/>
      <c r="K52" s="21" t="s">
        <v>121</v>
      </c>
      <c r="L52" s="21" t="s">
        <v>111</v>
      </c>
      <c r="M52" s="21" t="s">
        <v>53</v>
      </c>
      <c r="N52" s="21"/>
      <c r="O52" s="21" t="s">
        <v>53</v>
      </c>
      <c r="P52" s="21"/>
      <c r="Q52" s="21" t="s">
        <v>53</v>
      </c>
      <c r="R52" s="21"/>
      <c r="S52" s="21" t="s">
        <v>50</v>
      </c>
      <c r="T52" s="21"/>
      <c r="U52" s="21" t="s">
        <v>53</v>
      </c>
      <c r="V52" s="21"/>
      <c r="W52" s="21" t="s">
        <v>53</v>
      </c>
      <c r="X52" s="21"/>
      <c r="Y52" s="21" t="s">
        <v>50</v>
      </c>
      <c r="Z52" s="21"/>
      <c r="AA52" s="21" t="s">
        <v>50</v>
      </c>
      <c r="AB52" s="21"/>
      <c r="AC52" s="21" t="s">
        <v>50</v>
      </c>
      <c r="AD52" s="21"/>
      <c r="AE52" s="21"/>
      <c r="AF52" s="21"/>
      <c r="AG52" s="21"/>
      <c r="AH52" s="21"/>
      <c r="AI52" s="21" t="s">
        <v>50</v>
      </c>
      <c r="AJ52" s="21"/>
      <c r="AK52" s="21" t="s">
        <v>53</v>
      </c>
      <c r="AL52" s="21"/>
      <c r="AM52" s="21" t="s">
        <v>53</v>
      </c>
      <c r="AN52" s="21"/>
      <c r="AO52" s="21"/>
      <c r="AP52" s="21"/>
    </row>
    <row r="53">
      <c r="A53" s="42" t="s">
        <v>122</v>
      </c>
      <c r="B53" s="8"/>
      <c r="C53" s="21"/>
      <c r="D53" s="21"/>
      <c r="E53" s="21"/>
      <c r="F53" s="21"/>
      <c r="G53" s="21"/>
      <c r="H53" s="21"/>
      <c r="I53" s="21"/>
      <c r="J53" s="21"/>
      <c r="K53" s="21" t="s">
        <v>50</v>
      </c>
      <c r="L53" s="21"/>
      <c r="M53" s="21" t="s">
        <v>53</v>
      </c>
      <c r="N53" s="21"/>
      <c r="O53" s="21" t="s">
        <v>53</v>
      </c>
      <c r="P53" s="21"/>
      <c r="Q53" s="21" t="s">
        <v>53</v>
      </c>
      <c r="R53" s="21"/>
      <c r="S53" s="21" t="s">
        <v>50</v>
      </c>
      <c r="T53" s="21"/>
      <c r="U53" s="21" t="s">
        <v>53</v>
      </c>
      <c r="V53" s="21"/>
      <c r="W53" s="21" t="s">
        <v>53</v>
      </c>
      <c r="X53" s="21"/>
      <c r="Y53" s="21" t="s">
        <v>50</v>
      </c>
      <c r="Z53" s="21"/>
      <c r="AA53" s="21" t="s">
        <v>50</v>
      </c>
      <c r="AB53" s="21"/>
      <c r="AC53" s="21" t="s">
        <v>50</v>
      </c>
      <c r="AD53" s="21"/>
      <c r="AE53" s="21"/>
      <c r="AF53" s="21"/>
      <c r="AG53" s="21"/>
      <c r="AH53" s="21"/>
      <c r="AI53" s="21" t="s">
        <v>50</v>
      </c>
      <c r="AJ53" s="21"/>
      <c r="AK53" s="21" t="s">
        <v>53</v>
      </c>
      <c r="AL53" s="21"/>
      <c r="AM53" s="21" t="s">
        <v>53</v>
      </c>
      <c r="AN53" s="21"/>
      <c r="AO53" s="21"/>
      <c r="AP53" s="21"/>
    </row>
    <row r="54">
      <c r="A54" s="42" t="s">
        <v>123</v>
      </c>
      <c r="B54" s="8"/>
      <c r="C54" s="21"/>
      <c r="D54" s="21"/>
      <c r="E54" s="21"/>
      <c r="F54" s="21"/>
      <c r="G54" s="21"/>
      <c r="H54" s="21"/>
      <c r="I54" s="21"/>
      <c r="J54" s="21"/>
      <c r="K54" s="21" t="s">
        <v>50</v>
      </c>
      <c r="L54" s="21"/>
      <c r="M54" s="21" t="s">
        <v>53</v>
      </c>
      <c r="N54" s="21"/>
      <c r="O54" s="21" t="s">
        <v>53</v>
      </c>
      <c r="P54" s="21"/>
      <c r="Q54" s="21" t="s">
        <v>53</v>
      </c>
      <c r="R54" s="21"/>
      <c r="S54" s="21" t="s">
        <v>50</v>
      </c>
      <c r="T54" s="21"/>
      <c r="U54" s="21" t="s">
        <v>51</v>
      </c>
      <c r="V54" s="21" t="s">
        <v>124</v>
      </c>
      <c r="W54" s="21" t="s">
        <v>53</v>
      </c>
      <c r="X54" s="21"/>
      <c r="Y54" s="21" t="s">
        <v>50</v>
      </c>
      <c r="Z54" s="21"/>
      <c r="AA54" s="21" t="s">
        <v>50</v>
      </c>
      <c r="AB54" s="21"/>
      <c r="AC54" s="21" t="s">
        <v>50</v>
      </c>
      <c r="AD54" s="21"/>
      <c r="AE54" s="21"/>
      <c r="AF54" s="21"/>
      <c r="AG54" s="21"/>
      <c r="AH54" s="21"/>
      <c r="AI54" s="21" t="s">
        <v>50</v>
      </c>
      <c r="AJ54" s="21"/>
      <c r="AK54" s="21" t="s">
        <v>53</v>
      </c>
      <c r="AL54" s="21"/>
      <c r="AM54" s="21" t="s">
        <v>53</v>
      </c>
      <c r="AN54" s="21"/>
      <c r="AO54" s="21"/>
      <c r="AP54" s="21"/>
    </row>
    <row r="55">
      <c r="A55" s="42" t="s">
        <v>125</v>
      </c>
      <c r="B55" s="8"/>
      <c r="C55" s="21"/>
      <c r="D55" s="21"/>
      <c r="E55" s="21"/>
      <c r="F55" s="21"/>
      <c r="G55" s="21"/>
      <c r="H55" s="21"/>
      <c r="I55" s="21"/>
      <c r="J55" s="21"/>
      <c r="K55" s="21" t="s">
        <v>50</v>
      </c>
      <c r="L55" s="21"/>
      <c r="M55" s="21" t="s">
        <v>51</v>
      </c>
      <c r="N55" s="21" t="s">
        <v>118</v>
      </c>
      <c r="O55" s="21" t="s">
        <v>53</v>
      </c>
      <c r="P55" s="21"/>
      <c r="Q55" s="21" t="s">
        <v>53</v>
      </c>
      <c r="R55" s="21"/>
      <c r="S55" s="21" t="s">
        <v>50</v>
      </c>
      <c r="T55" s="21"/>
      <c r="U55" s="21" t="s">
        <v>53</v>
      </c>
      <c r="V55" s="21"/>
      <c r="W55" s="21" t="s">
        <v>53</v>
      </c>
      <c r="X55" s="21"/>
      <c r="Y55" s="21" t="s">
        <v>50</v>
      </c>
      <c r="Z55" s="21"/>
      <c r="AA55" s="21" t="s">
        <v>50</v>
      </c>
      <c r="AB55" s="21"/>
      <c r="AC55" s="21" t="s">
        <v>50</v>
      </c>
      <c r="AD55" s="21"/>
      <c r="AE55" s="21"/>
      <c r="AF55" s="21"/>
      <c r="AG55" s="21"/>
      <c r="AH55" s="21"/>
      <c r="AI55" s="21" t="s">
        <v>50</v>
      </c>
      <c r="AJ55" s="21"/>
      <c r="AK55" s="21" t="s">
        <v>53</v>
      </c>
      <c r="AL55" s="21"/>
      <c r="AM55" s="21" t="s">
        <v>53</v>
      </c>
      <c r="AN55" s="21"/>
      <c r="AO55" s="21"/>
      <c r="AP55" s="21"/>
    </row>
    <row r="56">
      <c r="A56" s="42" t="s">
        <v>126</v>
      </c>
      <c r="B56" s="8"/>
      <c r="C56" s="21"/>
      <c r="D56" s="21"/>
      <c r="E56" s="21"/>
      <c r="F56" s="21"/>
      <c r="G56" s="21"/>
      <c r="H56" s="21"/>
      <c r="I56" s="21"/>
      <c r="J56" s="21"/>
      <c r="K56" s="21" t="s">
        <v>50</v>
      </c>
      <c r="L56" s="21"/>
      <c r="M56" s="21" t="s">
        <v>53</v>
      </c>
      <c r="N56" s="21"/>
      <c r="O56" s="21" t="s">
        <v>53</v>
      </c>
      <c r="P56" s="21"/>
      <c r="Q56" s="21" t="s">
        <v>53</v>
      </c>
      <c r="R56" s="21"/>
      <c r="S56" s="21" t="s">
        <v>50</v>
      </c>
      <c r="T56" s="21"/>
      <c r="U56" s="21" t="s">
        <v>110</v>
      </c>
      <c r="V56" s="21" t="s">
        <v>111</v>
      </c>
      <c r="W56" s="21" t="s">
        <v>53</v>
      </c>
      <c r="X56" s="21"/>
      <c r="Y56" s="21" t="s">
        <v>50</v>
      </c>
      <c r="Z56" s="21"/>
      <c r="AA56" s="21" t="s">
        <v>50</v>
      </c>
      <c r="AB56" s="21"/>
      <c r="AC56" s="21" t="s">
        <v>50</v>
      </c>
      <c r="AD56" s="21"/>
      <c r="AE56" s="21"/>
      <c r="AF56" s="21"/>
      <c r="AG56" s="21"/>
      <c r="AH56" s="21"/>
      <c r="AI56" s="21" t="s">
        <v>50</v>
      </c>
      <c r="AJ56" s="21"/>
      <c r="AK56" s="21" t="s">
        <v>53</v>
      </c>
      <c r="AL56" s="21"/>
      <c r="AM56" s="21" t="s">
        <v>53</v>
      </c>
      <c r="AN56" s="21"/>
      <c r="AO56" s="21"/>
      <c r="AP56" s="21"/>
    </row>
    <row r="57">
      <c r="A57" s="42" t="s">
        <v>127</v>
      </c>
      <c r="B57" s="8"/>
      <c r="C57" s="21"/>
      <c r="D57" s="21"/>
      <c r="E57" s="21"/>
      <c r="F57" s="21"/>
      <c r="G57" s="21"/>
      <c r="H57" s="21"/>
      <c r="I57" s="21"/>
      <c r="J57" s="21"/>
      <c r="K57" s="21" t="s">
        <v>50</v>
      </c>
      <c r="L57" s="21"/>
      <c r="M57" s="21" t="s">
        <v>110</v>
      </c>
      <c r="N57" s="21" t="s">
        <v>111</v>
      </c>
      <c r="O57" s="21" t="s">
        <v>53</v>
      </c>
      <c r="P57" s="21"/>
      <c r="Q57" s="21" t="s">
        <v>53</v>
      </c>
      <c r="R57" s="21"/>
      <c r="S57" s="21" t="s">
        <v>50</v>
      </c>
      <c r="T57" s="21"/>
      <c r="U57" s="21" t="s">
        <v>51</v>
      </c>
      <c r="V57" s="21" t="s">
        <v>108</v>
      </c>
      <c r="W57" s="21" t="s">
        <v>53</v>
      </c>
      <c r="X57" s="21"/>
      <c r="Y57" s="21" t="s">
        <v>50</v>
      </c>
      <c r="Z57" s="21"/>
      <c r="AA57" s="21" t="s">
        <v>50</v>
      </c>
      <c r="AB57" s="21"/>
      <c r="AC57" s="21" t="s">
        <v>50</v>
      </c>
      <c r="AD57" s="21"/>
      <c r="AE57" s="21"/>
      <c r="AF57" s="21"/>
      <c r="AG57" s="21"/>
      <c r="AH57" s="21"/>
      <c r="AI57" s="21" t="s">
        <v>50</v>
      </c>
      <c r="AJ57" s="21"/>
      <c r="AK57" s="21" t="s">
        <v>53</v>
      </c>
      <c r="AL57" s="21"/>
      <c r="AM57" s="21" t="s">
        <v>53</v>
      </c>
      <c r="AN57" s="21"/>
      <c r="AO57" s="21"/>
      <c r="AP57" s="21"/>
    </row>
    <row r="58">
      <c r="A58" s="42" t="s">
        <v>128</v>
      </c>
      <c r="B58" s="8"/>
      <c r="C58" s="21"/>
      <c r="D58" s="21"/>
      <c r="E58" s="21"/>
      <c r="F58" s="21"/>
      <c r="G58" s="21"/>
      <c r="H58" s="21"/>
      <c r="I58" s="21"/>
      <c r="J58" s="21"/>
      <c r="K58" s="21" t="s">
        <v>50</v>
      </c>
      <c r="L58" s="21"/>
      <c r="M58" s="21" t="s">
        <v>50</v>
      </c>
      <c r="N58" s="21"/>
      <c r="O58" s="21" t="s">
        <v>53</v>
      </c>
      <c r="P58" s="21"/>
      <c r="Q58" s="21" t="s">
        <v>53</v>
      </c>
      <c r="R58" s="21"/>
      <c r="S58" s="21" t="s">
        <v>50</v>
      </c>
      <c r="T58" s="21"/>
      <c r="U58" s="21" t="s">
        <v>110</v>
      </c>
      <c r="V58" s="21" t="s">
        <v>111</v>
      </c>
      <c r="W58" s="21" t="s">
        <v>53</v>
      </c>
      <c r="X58" s="21"/>
      <c r="Y58" s="21" t="s">
        <v>50</v>
      </c>
      <c r="Z58" s="21"/>
      <c r="AA58" s="21" t="s">
        <v>50</v>
      </c>
      <c r="AB58" s="21"/>
      <c r="AC58" s="21" t="s">
        <v>50</v>
      </c>
      <c r="AD58" s="21"/>
      <c r="AE58" s="21"/>
      <c r="AF58" s="21"/>
      <c r="AG58" s="21"/>
      <c r="AH58" s="21"/>
      <c r="AI58" s="21" t="s">
        <v>50</v>
      </c>
      <c r="AJ58" s="21"/>
      <c r="AK58" s="21" t="s">
        <v>53</v>
      </c>
      <c r="AL58" s="21"/>
      <c r="AM58" s="21" t="s">
        <v>53</v>
      </c>
      <c r="AN58" s="21"/>
      <c r="AO58" s="21"/>
      <c r="AP58" s="21"/>
    </row>
    <row r="59">
      <c r="A59" s="42" t="s">
        <v>129</v>
      </c>
      <c r="B59" s="8"/>
      <c r="C59" s="21"/>
      <c r="D59" s="21"/>
      <c r="E59" s="21"/>
      <c r="F59" s="21"/>
      <c r="G59" s="21"/>
      <c r="H59" s="21"/>
      <c r="I59" s="21"/>
      <c r="J59" s="21"/>
      <c r="K59" s="21" t="s">
        <v>50</v>
      </c>
      <c r="L59" s="21"/>
      <c r="M59" s="21" t="s">
        <v>50</v>
      </c>
      <c r="N59" s="21"/>
      <c r="O59" s="21" t="s">
        <v>53</v>
      </c>
      <c r="P59" s="21"/>
      <c r="Q59" s="21" t="s">
        <v>53</v>
      </c>
      <c r="R59" s="21"/>
      <c r="S59" s="21" t="s">
        <v>50</v>
      </c>
      <c r="T59" s="21"/>
      <c r="U59" s="21" t="s">
        <v>51</v>
      </c>
      <c r="V59" s="21" t="s">
        <v>130</v>
      </c>
      <c r="W59" s="21" t="s">
        <v>53</v>
      </c>
      <c r="X59" s="21"/>
      <c r="Y59" s="21" t="s">
        <v>50</v>
      </c>
      <c r="Z59" s="21"/>
      <c r="AA59" s="21" t="s">
        <v>50</v>
      </c>
      <c r="AB59" s="21"/>
      <c r="AC59" s="21" t="s">
        <v>50</v>
      </c>
      <c r="AD59" s="21"/>
      <c r="AE59" s="21"/>
      <c r="AF59" s="21"/>
      <c r="AG59" s="21"/>
      <c r="AH59" s="21"/>
      <c r="AI59" s="21" t="s">
        <v>50</v>
      </c>
      <c r="AJ59" s="21"/>
      <c r="AK59" s="21" t="s">
        <v>53</v>
      </c>
      <c r="AL59" s="21"/>
      <c r="AM59" s="21" t="s">
        <v>53</v>
      </c>
      <c r="AN59" s="21"/>
      <c r="AO59" s="21"/>
      <c r="AP59" s="21"/>
    </row>
    <row r="60">
      <c r="A60" s="42" t="s">
        <v>131</v>
      </c>
      <c r="B60" s="8"/>
      <c r="C60" s="21"/>
      <c r="D60" s="21"/>
      <c r="E60" s="21"/>
      <c r="F60" s="21"/>
      <c r="G60" s="21"/>
      <c r="H60" s="21"/>
      <c r="I60" s="21"/>
      <c r="J60" s="21"/>
      <c r="K60" s="21" t="s">
        <v>50</v>
      </c>
      <c r="L60" s="21"/>
      <c r="M60" s="21" t="s">
        <v>50</v>
      </c>
      <c r="N60" s="21"/>
      <c r="O60" s="21" t="s">
        <v>53</v>
      </c>
      <c r="P60" s="21"/>
      <c r="Q60" s="21" t="s">
        <v>53</v>
      </c>
      <c r="R60" s="21"/>
      <c r="S60" s="21" t="s">
        <v>50</v>
      </c>
      <c r="T60" s="21"/>
      <c r="U60" s="21" t="s">
        <v>51</v>
      </c>
      <c r="V60" s="21" t="s">
        <v>130</v>
      </c>
      <c r="W60" s="21" t="s">
        <v>110</v>
      </c>
      <c r="X60" s="21" t="s">
        <v>132</v>
      </c>
      <c r="Y60" s="21" t="s">
        <v>50</v>
      </c>
      <c r="Z60" s="21"/>
      <c r="AA60" s="21" t="s">
        <v>50</v>
      </c>
      <c r="AB60" s="21"/>
      <c r="AC60" s="21" t="s">
        <v>50</v>
      </c>
      <c r="AD60" s="21"/>
      <c r="AE60" s="21"/>
      <c r="AF60" s="21"/>
      <c r="AG60" s="21"/>
      <c r="AH60" s="21"/>
      <c r="AI60" s="21" t="s">
        <v>50</v>
      </c>
      <c r="AJ60" s="21"/>
      <c r="AK60" s="21" t="s">
        <v>53</v>
      </c>
      <c r="AL60" s="21"/>
      <c r="AM60" s="21" t="s">
        <v>53</v>
      </c>
      <c r="AN60" s="21"/>
      <c r="AO60" s="21"/>
      <c r="AP60" s="21"/>
    </row>
    <row r="61">
      <c r="A61" s="42" t="s">
        <v>133</v>
      </c>
      <c r="B61" s="8"/>
      <c r="C61" s="21"/>
      <c r="D61" s="21"/>
      <c r="E61" s="21"/>
      <c r="F61" s="21"/>
      <c r="G61" s="21"/>
      <c r="H61" s="21"/>
      <c r="I61" s="21"/>
      <c r="J61" s="21"/>
      <c r="K61" s="21" t="s">
        <v>50</v>
      </c>
      <c r="L61" s="21"/>
      <c r="M61" s="21" t="s">
        <v>50</v>
      </c>
      <c r="N61" s="21"/>
      <c r="O61" s="21" t="s">
        <v>53</v>
      </c>
      <c r="P61" s="21"/>
      <c r="Q61" s="21" t="s">
        <v>53</v>
      </c>
      <c r="R61" s="21"/>
      <c r="S61" s="21"/>
      <c r="T61" s="21"/>
      <c r="U61" s="21" t="s">
        <v>51</v>
      </c>
      <c r="V61" s="21" t="s">
        <v>134</v>
      </c>
      <c r="W61" s="21" t="s">
        <v>110</v>
      </c>
      <c r="X61" s="21" t="s">
        <v>132</v>
      </c>
      <c r="Y61" s="21" t="s">
        <v>50</v>
      </c>
      <c r="Z61" s="21"/>
      <c r="AA61" s="21" t="s">
        <v>50</v>
      </c>
      <c r="AB61" s="21"/>
      <c r="AC61" s="21" t="s">
        <v>50</v>
      </c>
      <c r="AD61" s="21"/>
      <c r="AE61" s="21"/>
      <c r="AF61" s="21"/>
      <c r="AG61" s="21"/>
      <c r="AH61" s="21"/>
      <c r="AI61" s="21" t="s">
        <v>50</v>
      </c>
      <c r="AJ61" s="21"/>
      <c r="AK61" s="21" t="s">
        <v>53</v>
      </c>
      <c r="AL61" s="21"/>
      <c r="AM61" s="21" t="s">
        <v>50</v>
      </c>
      <c r="AN61" s="21"/>
      <c r="AO61" s="21"/>
      <c r="AP61" s="21"/>
    </row>
    <row r="62">
      <c r="A62" s="42" t="s">
        <v>135</v>
      </c>
      <c r="B62" s="8"/>
      <c r="C62" s="21"/>
      <c r="D62" s="21"/>
      <c r="E62" s="21"/>
      <c r="F62" s="21"/>
      <c r="G62" s="21"/>
      <c r="H62" s="21"/>
      <c r="I62" s="21"/>
      <c r="J62" s="21"/>
      <c r="K62" s="21" t="s">
        <v>50</v>
      </c>
      <c r="L62" s="21"/>
      <c r="M62" s="21" t="s">
        <v>50</v>
      </c>
      <c r="N62" s="21"/>
      <c r="O62" s="21" t="s">
        <v>53</v>
      </c>
      <c r="P62" s="21"/>
      <c r="Q62" s="21" t="s">
        <v>53</v>
      </c>
      <c r="R62" s="21"/>
      <c r="S62" s="21"/>
      <c r="T62" s="21"/>
      <c r="U62" s="21" t="s">
        <v>51</v>
      </c>
      <c r="V62" s="21" t="s">
        <v>134</v>
      </c>
      <c r="W62" s="21" t="s">
        <v>51</v>
      </c>
      <c r="X62" s="21" t="s">
        <v>136</v>
      </c>
      <c r="Y62" s="21" t="s">
        <v>50</v>
      </c>
      <c r="Z62" s="21"/>
      <c r="AA62" s="21" t="s">
        <v>50</v>
      </c>
      <c r="AB62" s="21"/>
      <c r="AC62" s="21" t="s">
        <v>50</v>
      </c>
      <c r="AD62" s="21"/>
      <c r="AE62" s="21"/>
      <c r="AF62" s="21"/>
      <c r="AG62" s="21"/>
      <c r="AH62" s="21"/>
      <c r="AI62" s="21" t="s">
        <v>50</v>
      </c>
      <c r="AJ62" s="21"/>
      <c r="AK62" s="21" t="s">
        <v>53</v>
      </c>
      <c r="AL62" s="21"/>
      <c r="AM62" s="21" t="s">
        <v>50</v>
      </c>
      <c r="AN62" s="21"/>
      <c r="AO62" s="21"/>
      <c r="AP62" s="21"/>
    </row>
    <row r="63">
      <c r="A63" s="42" t="s">
        <v>137</v>
      </c>
      <c r="B63" s="8"/>
      <c r="C63" s="21"/>
      <c r="D63" s="21"/>
      <c r="E63" s="21"/>
      <c r="F63" s="21"/>
      <c r="G63" s="21"/>
      <c r="H63" s="21"/>
      <c r="I63" s="21"/>
      <c r="J63" s="21"/>
      <c r="K63" s="21" t="s">
        <v>50</v>
      </c>
      <c r="L63" s="21"/>
      <c r="M63" s="21" t="s">
        <v>50</v>
      </c>
      <c r="N63" s="21"/>
      <c r="O63" s="21" t="s">
        <v>51</v>
      </c>
      <c r="P63" s="21" t="s">
        <v>138</v>
      </c>
      <c r="Q63" s="21" t="s">
        <v>53</v>
      </c>
      <c r="R63" s="21"/>
      <c r="S63" s="21"/>
      <c r="T63" s="21"/>
      <c r="U63" s="21" t="s">
        <v>51</v>
      </c>
      <c r="V63" s="21" t="s">
        <v>139</v>
      </c>
      <c r="W63" s="21" t="s">
        <v>51</v>
      </c>
      <c r="X63" s="21" t="s">
        <v>136</v>
      </c>
      <c r="Y63" s="21" t="s">
        <v>50</v>
      </c>
      <c r="Z63" s="21"/>
      <c r="AA63" s="21" t="s">
        <v>50</v>
      </c>
      <c r="AB63" s="21"/>
      <c r="AC63" s="21" t="s">
        <v>50</v>
      </c>
      <c r="AD63" s="21"/>
      <c r="AE63" s="21"/>
      <c r="AF63" s="21"/>
      <c r="AG63" s="21"/>
      <c r="AH63" s="21"/>
      <c r="AI63" s="21" t="s">
        <v>50</v>
      </c>
      <c r="AJ63" s="21"/>
      <c r="AK63" s="21" t="s">
        <v>53</v>
      </c>
      <c r="AL63" s="21"/>
      <c r="AM63" s="21" t="s">
        <v>50</v>
      </c>
      <c r="AN63" s="21"/>
      <c r="AO63" s="21"/>
      <c r="AP63" s="21"/>
    </row>
    <row r="64">
      <c r="A64" s="42" t="s">
        <v>140</v>
      </c>
      <c r="B64" s="8"/>
      <c r="C64" s="21"/>
      <c r="D64" s="21"/>
      <c r="E64" s="21"/>
      <c r="F64" s="21"/>
      <c r="G64" s="21"/>
      <c r="H64" s="21"/>
      <c r="I64" s="21"/>
      <c r="J64" s="21"/>
      <c r="K64" s="21" t="s">
        <v>50</v>
      </c>
      <c r="L64" s="21"/>
      <c r="M64" s="21" t="s">
        <v>50</v>
      </c>
      <c r="N64" s="21"/>
      <c r="O64" s="21" t="s">
        <v>51</v>
      </c>
      <c r="P64" s="21" t="s">
        <v>141</v>
      </c>
      <c r="Q64" s="21" t="s">
        <v>53</v>
      </c>
      <c r="R64" s="21"/>
      <c r="S64" s="21"/>
      <c r="T64" s="21"/>
      <c r="U64" s="21" t="s">
        <v>51</v>
      </c>
      <c r="V64" s="21" t="s">
        <v>139</v>
      </c>
      <c r="W64" s="21" t="s">
        <v>51</v>
      </c>
      <c r="X64" s="21" t="s">
        <v>136</v>
      </c>
      <c r="Y64" s="21" t="s">
        <v>50</v>
      </c>
      <c r="Z64" s="21"/>
      <c r="AA64" s="21" t="s">
        <v>50</v>
      </c>
      <c r="AB64" s="21"/>
      <c r="AC64" s="21" t="s">
        <v>50</v>
      </c>
      <c r="AD64" s="21"/>
      <c r="AE64" s="21"/>
      <c r="AF64" s="21"/>
      <c r="AG64" s="21"/>
      <c r="AH64" s="21"/>
      <c r="AI64" s="21" t="s">
        <v>50</v>
      </c>
      <c r="AJ64" s="21"/>
      <c r="AK64" s="21" t="s">
        <v>53</v>
      </c>
      <c r="AL64" s="21"/>
      <c r="AM64" s="21" t="s">
        <v>50</v>
      </c>
      <c r="AN64" s="21"/>
      <c r="AO64" s="21"/>
      <c r="AP64" s="21"/>
    </row>
    <row r="65">
      <c r="A65" s="42" t="s">
        <v>142</v>
      </c>
      <c r="B65" s="8"/>
      <c r="C65" s="21"/>
      <c r="D65" s="21"/>
      <c r="E65" s="21"/>
      <c r="F65" s="21"/>
      <c r="G65" s="21"/>
      <c r="H65" s="21"/>
      <c r="I65" s="21"/>
      <c r="J65" s="21"/>
      <c r="K65" s="21" t="s">
        <v>50</v>
      </c>
      <c r="L65" s="21"/>
      <c r="M65" s="21" t="s">
        <v>50</v>
      </c>
      <c r="N65" s="21"/>
      <c r="O65" s="21" t="s">
        <v>110</v>
      </c>
      <c r="P65" s="21" t="s">
        <v>111</v>
      </c>
      <c r="Q65" s="21" t="s">
        <v>53</v>
      </c>
      <c r="R65" s="21"/>
      <c r="S65" s="21"/>
      <c r="T65" s="21"/>
      <c r="U65" s="21" t="s">
        <v>51</v>
      </c>
      <c r="V65" s="21" t="s">
        <v>143</v>
      </c>
      <c r="W65" s="21" t="s">
        <v>51</v>
      </c>
      <c r="X65" s="21" t="s">
        <v>136</v>
      </c>
      <c r="Y65" s="21" t="s">
        <v>50</v>
      </c>
      <c r="Z65" s="21"/>
      <c r="AA65" s="21" t="s">
        <v>50</v>
      </c>
      <c r="AB65" s="21"/>
      <c r="AC65" s="21" t="s">
        <v>50</v>
      </c>
      <c r="AD65" s="21"/>
      <c r="AE65" s="21"/>
      <c r="AF65" s="21"/>
      <c r="AG65" s="21"/>
      <c r="AH65" s="21"/>
      <c r="AI65" s="21" t="s">
        <v>50</v>
      </c>
      <c r="AJ65" s="21"/>
      <c r="AK65" s="21" t="s">
        <v>53</v>
      </c>
      <c r="AL65" s="21"/>
      <c r="AM65" s="21" t="s">
        <v>50</v>
      </c>
      <c r="AN65" s="21"/>
      <c r="AO65" s="21"/>
      <c r="AP65" s="21"/>
    </row>
    <row r="66">
      <c r="A66" s="42" t="s">
        <v>144</v>
      </c>
      <c r="B66" s="8"/>
      <c r="C66" s="21"/>
      <c r="D66" s="21"/>
      <c r="E66" s="21"/>
      <c r="F66" s="21"/>
      <c r="G66" s="21"/>
      <c r="H66" s="21"/>
      <c r="I66" s="21"/>
      <c r="J66" s="21"/>
      <c r="K66" s="21" t="s">
        <v>50</v>
      </c>
      <c r="L66" s="21"/>
      <c r="M66" s="21" t="s">
        <v>50</v>
      </c>
      <c r="N66" s="21"/>
      <c r="O66" s="21" t="s">
        <v>50</v>
      </c>
      <c r="P66" s="21"/>
      <c r="Q66" s="21" t="s">
        <v>53</v>
      </c>
      <c r="R66" s="21"/>
      <c r="S66" s="21"/>
      <c r="T66" s="21"/>
      <c r="U66" s="21" t="s">
        <v>51</v>
      </c>
      <c r="V66" s="21" t="s">
        <v>143</v>
      </c>
      <c r="W66" s="21" t="s">
        <v>51</v>
      </c>
      <c r="X66" s="21" t="s">
        <v>145</v>
      </c>
      <c r="Y66" s="21" t="s">
        <v>50</v>
      </c>
      <c r="Z66" s="21"/>
      <c r="AA66" s="21" t="s">
        <v>50</v>
      </c>
      <c r="AB66" s="21"/>
      <c r="AC66" s="21" t="s">
        <v>50</v>
      </c>
      <c r="AD66" s="21"/>
      <c r="AE66" s="21"/>
      <c r="AF66" s="21"/>
      <c r="AG66" s="21"/>
      <c r="AH66" s="21"/>
      <c r="AI66" s="21" t="s">
        <v>50</v>
      </c>
      <c r="AJ66" s="21"/>
      <c r="AK66" s="21" t="s">
        <v>53</v>
      </c>
      <c r="AL66" s="21"/>
      <c r="AM66" s="21" t="s">
        <v>50</v>
      </c>
      <c r="AN66" s="21"/>
      <c r="AO66" s="21"/>
      <c r="AP66" s="21"/>
    </row>
    <row r="67">
      <c r="A67" s="42" t="s">
        <v>146</v>
      </c>
      <c r="B67" s="8"/>
      <c r="C67" s="21"/>
      <c r="D67" s="21"/>
      <c r="E67" s="21"/>
      <c r="F67" s="21"/>
      <c r="G67" s="21"/>
      <c r="H67" s="21"/>
      <c r="I67" s="21"/>
      <c r="J67" s="21"/>
      <c r="K67" s="21" t="s">
        <v>50</v>
      </c>
      <c r="L67" s="21"/>
      <c r="M67" s="21" t="s">
        <v>50</v>
      </c>
      <c r="N67" s="21"/>
      <c r="O67" s="21" t="s">
        <v>50</v>
      </c>
      <c r="P67" s="21"/>
      <c r="Q67" s="21" t="s">
        <v>53</v>
      </c>
      <c r="R67" s="21"/>
      <c r="S67" s="21"/>
      <c r="T67" s="21"/>
      <c r="U67" s="21" t="s">
        <v>51</v>
      </c>
      <c r="V67" s="21" t="s">
        <v>130</v>
      </c>
      <c r="W67" s="21" t="s">
        <v>51</v>
      </c>
      <c r="X67" s="21" t="s">
        <v>145</v>
      </c>
      <c r="Y67" s="21" t="s">
        <v>50</v>
      </c>
      <c r="Z67" s="21"/>
      <c r="AA67" s="21" t="s">
        <v>50</v>
      </c>
      <c r="AB67" s="21"/>
      <c r="AC67" s="21" t="s">
        <v>50</v>
      </c>
      <c r="AD67" s="21"/>
      <c r="AE67" s="21"/>
      <c r="AF67" s="21"/>
      <c r="AG67" s="21"/>
      <c r="AH67" s="21"/>
      <c r="AI67" s="21" t="s">
        <v>50</v>
      </c>
      <c r="AJ67" s="21"/>
      <c r="AK67" s="21" t="s">
        <v>50</v>
      </c>
      <c r="AL67" s="21"/>
      <c r="AM67" s="21" t="s">
        <v>50</v>
      </c>
      <c r="AN67" s="21"/>
      <c r="AO67" s="21"/>
      <c r="AP67" s="21"/>
    </row>
    <row r="68">
      <c r="A68" s="42" t="s">
        <v>147</v>
      </c>
      <c r="B68" s="8"/>
      <c r="C68" s="21"/>
      <c r="D68" s="21"/>
      <c r="E68" s="21"/>
      <c r="F68" s="21"/>
      <c r="G68" s="21"/>
      <c r="H68" s="21"/>
      <c r="I68" s="21"/>
      <c r="J68" s="21"/>
      <c r="K68" s="21" t="s">
        <v>50</v>
      </c>
      <c r="L68" s="21"/>
      <c r="M68" s="21" t="s">
        <v>50</v>
      </c>
      <c r="N68" s="21"/>
      <c r="O68" s="21" t="s">
        <v>50</v>
      </c>
      <c r="P68" s="21"/>
      <c r="Q68" s="21" t="s">
        <v>53</v>
      </c>
      <c r="R68" s="21"/>
      <c r="S68" s="21"/>
      <c r="T68" s="21"/>
      <c r="U68" s="21" t="s">
        <v>51</v>
      </c>
      <c r="V68" s="21" t="s">
        <v>130</v>
      </c>
      <c r="W68" s="21" t="s">
        <v>51</v>
      </c>
      <c r="X68" s="21" t="s">
        <v>148</v>
      </c>
      <c r="Y68" s="21" t="s">
        <v>50</v>
      </c>
      <c r="Z68" s="21"/>
      <c r="AA68" s="21" t="s">
        <v>50</v>
      </c>
      <c r="AB68" s="21"/>
      <c r="AC68" s="21" t="s">
        <v>50</v>
      </c>
      <c r="AD68" s="21"/>
      <c r="AE68" s="21"/>
      <c r="AF68" s="21"/>
      <c r="AG68" s="21"/>
      <c r="AH68" s="21"/>
      <c r="AI68" s="21" t="s">
        <v>50</v>
      </c>
      <c r="AJ68" s="21"/>
      <c r="AK68" s="21" t="s">
        <v>53</v>
      </c>
      <c r="AL68" s="21"/>
      <c r="AM68" s="21" t="s">
        <v>50</v>
      </c>
      <c r="AN68" s="21"/>
      <c r="AO68" s="21"/>
      <c r="AP68" s="21"/>
    </row>
    <row r="69">
      <c r="A69" s="42" t="s">
        <v>149</v>
      </c>
      <c r="B69" s="8"/>
      <c r="C69" s="21"/>
      <c r="D69" s="21"/>
      <c r="E69" s="21"/>
      <c r="F69" s="21"/>
      <c r="G69" s="21"/>
      <c r="H69" s="21"/>
      <c r="I69" s="21"/>
      <c r="J69" s="21"/>
      <c r="K69" s="21" t="s">
        <v>50</v>
      </c>
      <c r="L69" s="21"/>
      <c r="M69" s="21" t="s">
        <v>50</v>
      </c>
      <c r="N69" s="21"/>
      <c r="O69" s="21" t="s">
        <v>50</v>
      </c>
      <c r="P69" s="21"/>
      <c r="Q69" s="21" t="s">
        <v>53</v>
      </c>
      <c r="R69" s="21"/>
      <c r="S69" s="21"/>
      <c r="T69" s="21"/>
      <c r="U69" s="21" t="s">
        <v>53</v>
      </c>
      <c r="V69" s="21"/>
      <c r="W69" s="21" t="s">
        <v>50</v>
      </c>
      <c r="X69" s="21"/>
      <c r="Y69" s="21" t="s">
        <v>50</v>
      </c>
      <c r="Z69" s="21"/>
      <c r="AA69" s="21" t="s">
        <v>50</v>
      </c>
      <c r="AB69" s="21"/>
      <c r="AC69" s="21" t="s">
        <v>50</v>
      </c>
      <c r="AD69" s="21"/>
      <c r="AE69" s="21"/>
      <c r="AF69" s="21"/>
      <c r="AG69" s="21"/>
      <c r="AH69" s="21"/>
      <c r="AI69" s="21" t="s">
        <v>50</v>
      </c>
      <c r="AJ69" s="21"/>
      <c r="AK69" s="21" t="s">
        <v>53</v>
      </c>
      <c r="AL69" s="21"/>
      <c r="AM69" s="21" t="s">
        <v>50</v>
      </c>
      <c r="AN69" s="21"/>
      <c r="AO69" s="21"/>
      <c r="AP69" s="21"/>
    </row>
    <row r="70">
      <c r="A70" s="42" t="s">
        <v>150</v>
      </c>
      <c r="B70" s="8"/>
      <c r="C70" s="21"/>
      <c r="D70" s="21"/>
      <c r="E70" s="21"/>
      <c r="F70" s="21"/>
      <c r="G70" s="21"/>
      <c r="H70" s="21"/>
      <c r="I70" s="21"/>
      <c r="J70" s="21"/>
      <c r="K70" s="21" t="s">
        <v>50</v>
      </c>
      <c r="L70" s="21"/>
      <c r="M70" s="21" t="s">
        <v>50</v>
      </c>
      <c r="N70" s="21"/>
      <c r="O70" s="21" t="s">
        <v>50</v>
      </c>
      <c r="P70" s="21"/>
      <c r="Q70" s="21" t="s">
        <v>53</v>
      </c>
      <c r="R70" s="21" t="s">
        <v>151</v>
      </c>
      <c r="S70" s="21"/>
      <c r="T70" s="21"/>
      <c r="U70" s="21" t="s">
        <v>53</v>
      </c>
      <c r="V70" s="21"/>
      <c r="W70" s="21" t="s">
        <v>50</v>
      </c>
      <c r="X70" s="21"/>
      <c r="Y70" s="21" t="s">
        <v>50</v>
      </c>
      <c r="Z70" s="21"/>
      <c r="AA70" s="21" t="s">
        <v>50</v>
      </c>
      <c r="AB70" s="21"/>
      <c r="AC70" s="21" t="s">
        <v>50</v>
      </c>
      <c r="AD70" s="21"/>
      <c r="AE70" s="21"/>
      <c r="AF70" s="21"/>
      <c r="AG70" s="21"/>
      <c r="AH70" s="21"/>
      <c r="AI70" s="21" t="s">
        <v>50</v>
      </c>
      <c r="AJ70" s="21"/>
      <c r="AK70" s="21" t="s">
        <v>53</v>
      </c>
      <c r="AL70" s="21"/>
      <c r="AM70" s="21" t="s">
        <v>50</v>
      </c>
      <c r="AN70" s="21"/>
      <c r="AO70" s="21"/>
      <c r="AP70" s="21"/>
    </row>
    <row r="71">
      <c r="A71" s="42" t="s">
        <v>152</v>
      </c>
      <c r="B71" s="8"/>
      <c r="C71" s="21"/>
      <c r="D71" s="21"/>
      <c r="E71" s="21"/>
      <c r="F71" s="21"/>
      <c r="G71" s="21"/>
      <c r="H71" s="21"/>
      <c r="I71" s="21"/>
      <c r="J71" s="21"/>
      <c r="K71" s="21" t="s">
        <v>50</v>
      </c>
      <c r="L71" s="21"/>
      <c r="M71" s="21" t="s">
        <v>50</v>
      </c>
      <c r="N71" s="21"/>
      <c r="O71" s="21" t="s">
        <v>50</v>
      </c>
      <c r="P71" s="21"/>
      <c r="Q71" s="21" t="s">
        <v>51</v>
      </c>
      <c r="R71" s="21" t="s">
        <v>138</v>
      </c>
      <c r="S71" s="21"/>
      <c r="T71" s="21"/>
      <c r="U71" s="21" t="s">
        <v>53</v>
      </c>
      <c r="V71" s="21"/>
      <c r="W71" s="21" t="s">
        <v>50</v>
      </c>
      <c r="X71" s="21"/>
      <c r="Y71" s="21" t="s">
        <v>50</v>
      </c>
      <c r="Z71" s="21"/>
      <c r="AA71" s="21" t="s">
        <v>50</v>
      </c>
      <c r="AB71" s="21"/>
      <c r="AC71" s="21" t="s">
        <v>50</v>
      </c>
      <c r="AD71" s="21"/>
      <c r="AE71" s="21"/>
      <c r="AF71" s="21"/>
      <c r="AG71" s="21"/>
      <c r="AH71" s="21"/>
      <c r="AI71" s="21" t="s">
        <v>50</v>
      </c>
      <c r="AJ71" s="21"/>
      <c r="AK71" s="21" t="s">
        <v>53</v>
      </c>
      <c r="AL71" s="21"/>
      <c r="AM71" s="21" t="s">
        <v>50</v>
      </c>
      <c r="AN71" s="21"/>
      <c r="AO71" s="21"/>
      <c r="AP71" s="21"/>
    </row>
    <row r="72">
      <c r="A72" s="42" t="s">
        <v>153</v>
      </c>
      <c r="B72" s="8"/>
      <c r="C72" s="21"/>
      <c r="D72" s="21"/>
      <c r="E72" s="21"/>
      <c r="F72" s="21"/>
      <c r="G72" s="21"/>
      <c r="H72" s="21"/>
      <c r="I72" s="21"/>
      <c r="J72" s="21"/>
      <c r="K72" s="21"/>
      <c r="L72" s="21"/>
      <c r="M72" s="21" t="s">
        <v>50</v>
      </c>
      <c r="N72" s="21"/>
      <c r="O72" s="21" t="s">
        <v>50</v>
      </c>
      <c r="P72" s="21"/>
      <c r="Q72" s="21" t="s">
        <v>51</v>
      </c>
      <c r="R72" s="21" t="s">
        <v>141</v>
      </c>
      <c r="S72" s="21"/>
      <c r="T72" s="21"/>
      <c r="U72" s="21" t="s">
        <v>53</v>
      </c>
      <c r="V72" s="21"/>
      <c r="W72" s="21" t="s">
        <v>50</v>
      </c>
      <c r="X72" s="21"/>
      <c r="Y72" s="21" t="s">
        <v>50</v>
      </c>
      <c r="Z72" s="21"/>
      <c r="AA72" s="21" t="s">
        <v>50</v>
      </c>
      <c r="AB72" s="21"/>
      <c r="AC72" s="21" t="s">
        <v>50</v>
      </c>
      <c r="AD72" s="21"/>
      <c r="AE72" s="21"/>
      <c r="AF72" s="21"/>
      <c r="AG72" s="21"/>
      <c r="AH72" s="21"/>
      <c r="AI72" s="21" t="s">
        <v>50</v>
      </c>
      <c r="AJ72" s="21"/>
      <c r="AK72" s="21" t="s">
        <v>53</v>
      </c>
      <c r="AL72" s="21"/>
      <c r="AM72" s="21" t="s">
        <v>50</v>
      </c>
      <c r="AN72" s="21"/>
      <c r="AO72" s="21"/>
      <c r="AP72" s="21"/>
    </row>
    <row r="73">
      <c r="A73" s="42" t="s">
        <v>154</v>
      </c>
      <c r="B73" s="8"/>
      <c r="C73" s="21"/>
      <c r="D73" s="21"/>
      <c r="E73" s="21"/>
      <c r="F73" s="21"/>
      <c r="G73" s="21"/>
      <c r="H73" s="21"/>
      <c r="I73" s="21"/>
      <c r="J73" s="21"/>
      <c r="K73" s="21"/>
      <c r="L73" s="21"/>
      <c r="M73" s="21" t="s">
        <v>50</v>
      </c>
      <c r="N73" s="21"/>
      <c r="O73" s="21" t="s">
        <v>50</v>
      </c>
      <c r="P73" s="21"/>
      <c r="Q73" s="21" t="s">
        <v>110</v>
      </c>
      <c r="R73" s="21" t="s">
        <v>111</v>
      </c>
      <c r="S73" s="21"/>
      <c r="T73" s="21"/>
      <c r="U73" s="21" t="s">
        <v>51</v>
      </c>
      <c r="V73" s="21" t="s">
        <v>155</v>
      </c>
      <c r="W73" s="21" t="s">
        <v>50</v>
      </c>
      <c r="X73" s="21"/>
      <c r="Y73" s="21" t="s">
        <v>50</v>
      </c>
      <c r="Z73" s="21"/>
      <c r="AA73" s="21" t="s">
        <v>50</v>
      </c>
      <c r="AB73" s="21"/>
      <c r="AC73" s="21" t="s">
        <v>50</v>
      </c>
      <c r="AD73" s="21"/>
      <c r="AE73" s="21"/>
      <c r="AF73" s="21"/>
      <c r="AG73" s="21"/>
      <c r="AH73" s="21"/>
      <c r="AI73" s="21" t="s">
        <v>50</v>
      </c>
      <c r="AJ73" s="21"/>
      <c r="AK73" s="21" t="s">
        <v>53</v>
      </c>
      <c r="AL73" s="21"/>
      <c r="AM73" s="21" t="s">
        <v>50</v>
      </c>
      <c r="AN73" s="21"/>
      <c r="AO73" s="21"/>
      <c r="AP73" s="21"/>
    </row>
    <row r="74">
      <c r="A74" s="42" t="s">
        <v>156</v>
      </c>
      <c r="B74" s="8"/>
      <c r="C74" s="21"/>
      <c r="D74" s="21"/>
      <c r="E74" s="21"/>
      <c r="F74" s="21"/>
      <c r="G74" s="21"/>
      <c r="H74" s="21"/>
      <c r="I74" s="21"/>
      <c r="J74" s="21"/>
      <c r="K74" s="21"/>
      <c r="L74" s="21"/>
      <c r="M74" s="21"/>
      <c r="N74" s="21"/>
      <c r="O74" s="21" t="s">
        <v>50</v>
      </c>
      <c r="P74" s="21"/>
      <c r="Q74" s="21" t="s">
        <v>50</v>
      </c>
      <c r="R74" s="21"/>
      <c r="S74" s="21"/>
      <c r="T74" s="21"/>
      <c r="U74" s="21" t="s">
        <v>51</v>
      </c>
      <c r="V74" s="21" t="s">
        <v>155</v>
      </c>
      <c r="W74" s="21" t="s">
        <v>50</v>
      </c>
      <c r="X74" s="21"/>
      <c r="Y74" s="21" t="s">
        <v>50</v>
      </c>
      <c r="Z74" s="21"/>
      <c r="AA74" s="21" t="s">
        <v>50</v>
      </c>
      <c r="AB74" s="21"/>
      <c r="AC74" s="21" t="s">
        <v>50</v>
      </c>
      <c r="AD74" s="21"/>
      <c r="AE74" s="21"/>
      <c r="AF74" s="21"/>
      <c r="AG74" s="21"/>
      <c r="AH74" s="21"/>
      <c r="AI74" s="21" t="s">
        <v>50</v>
      </c>
      <c r="AJ74" s="21"/>
      <c r="AK74" s="21" t="s">
        <v>53</v>
      </c>
      <c r="AL74" s="21"/>
      <c r="AM74" s="21" t="s">
        <v>50</v>
      </c>
      <c r="AN74" s="21"/>
      <c r="AO74" s="21"/>
      <c r="AP74" s="21"/>
    </row>
    <row r="75">
      <c r="A75" s="42" t="s">
        <v>157</v>
      </c>
      <c r="B75" s="8"/>
      <c r="C75" s="21"/>
      <c r="D75" s="21"/>
      <c r="E75" s="21"/>
      <c r="F75" s="21"/>
      <c r="G75" s="21"/>
      <c r="H75" s="21"/>
      <c r="I75" s="21"/>
      <c r="J75" s="21"/>
      <c r="K75" s="21"/>
      <c r="L75" s="21"/>
      <c r="M75" s="21"/>
      <c r="N75" s="21"/>
      <c r="O75" s="21" t="s">
        <v>50</v>
      </c>
      <c r="P75" s="21"/>
      <c r="Q75" s="21" t="s">
        <v>50</v>
      </c>
      <c r="R75" s="21"/>
      <c r="S75" s="21"/>
      <c r="T75" s="21"/>
      <c r="U75" s="21"/>
      <c r="V75" s="21"/>
      <c r="W75" s="21" t="s">
        <v>50</v>
      </c>
      <c r="X75" s="21"/>
      <c r="Y75" s="21"/>
      <c r="Z75" s="21"/>
      <c r="AA75" s="21" t="s">
        <v>50</v>
      </c>
      <c r="AB75" s="21"/>
      <c r="AC75" s="21" t="s">
        <v>50</v>
      </c>
      <c r="AD75" s="21"/>
      <c r="AE75" s="21"/>
      <c r="AF75" s="21"/>
      <c r="AG75" s="21"/>
      <c r="AH75" s="21"/>
      <c r="AI75" s="21" t="s">
        <v>50</v>
      </c>
      <c r="AJ75" s="21"/>
      <c r="AK75" s="21" t="s">
        <v>53</v>
      </c>
      <c r="AL75" s="21"/>
      <c r="AM75" s="21" t="s">
        <v>50</v>
      </c>
      <c r="AN75" s="21"/>
      <c r="AO75" s="21"/>
      <c r="AP75" s="21"/>
    </row>
    <row r="76">
      <c r="A76" s="42" t="s">
        <v>158</v>
      </c>
      <c r="B76" s="8"/>
      <c r="C76" s="21"/>
      <c r="D76" s="21"/>
      <c r="E76" s="21"/>
      <c r="F76" s="21"/>
      <c r="G76" s="21"/>
      <c r="H76" s="21"/>
      <c r="I76" s="21"/>
      <c r="J76" s="21"/>
      <c r="K76" s="21"/>
      <c r="L76" s="21"/>
      <c r="M76" s="21"/>
      <c r="N76" s="21"/>
      <c r="O76" s="21" t="s">
        <v>50</v>
      </c>
      <c r="P76" s="21"/>
      <c r="Q76" s="21" t="s">
        <v>50</v>
      </c>
      <c r="R76" s="21"/>
      <c r="S76" s="21"/>
      <c r="T76" s="21"/>
      <c r="U76" s="21"/>
      <c r="V76" s="21"/>
      <c r="W76" s="21" t="s">
        <v>50</v>
      </c>
      <c r="X76" s="21"/>
      <c r="Y76" s="21"/>
      <c r="Z76" s="21"/>
      <c r="AA76" s="21" t="s">
        <v>50</v>
      </c>
      <c r="AB76" s="21"/>
      <c r="AC76" s="21" t="s">
        <v>50</v>
      </c>
      <c r="AD76" s="21"/>
      <c r="AE76" s="21"/>
      <c r="AF76" s="21"/>
      <c r="AG76" s="21"/>
      <c r="AH76" s="21"/>
      <c r="AI76" s="21" t="s">
        <v>50</v>
      </c>
      <c r="AJ76" s="21"/>
      <c r="AK76" s="21" t="s">
        <v>53</v>
      </c>
      <c r="AL76" s="21"/>
      <c r="AM76" s="21" t="s">
        <v>50</v>
      </c>
      <c r="AN76" s="21"/>
      <c r="AO76" s="21"/>
      <c r="AP76" s="21"/>
    </row>
    <row r="77">
      <c r="A77" s="42" t="s">
        <v>159</v>
      </c>
      <c r="B77" s="8"/>
      <c r="C77" s="21"/>
      <c r="D77" s="21"/>
      <c r="E77" s="21"/>
      <c r="F77" s="21"/>
      <c r="G77" s="21"/>
      <c r="H77" s="21"/>
      <c r="I77" s="21"/>
      <c r="J77" s="21"/>
      <c r="K77" s="21"/>
      <c r="L77" s="21"/>
      <c r="M77" s="21"/>
      <c r="N77" s="21"/>
      <c r="O77" s="21" t="s">
        <v>50</v>
      </c>
      <c r="P77" s="21"/>
      <c r="Q77" s="21" t="s">
        <v>50</v>
      </c>
      <c r="R77" s="21"/>
      <c r="S77" s="21"/>
      <c r="T77" s="21"/>
      <c r="U77" s="21"/>
      <c r="V77" s="21"/>
      <c r="W77" s="21" t="s">
        <v>50</v>
      </c>
      <c r="X77" s="21"/>
      <c r="Y77" s="21"/>
      <c r="Z77" s="21"/>
      <c r="AA77" s="21" t="s">
        <v>50</v>
      </c>
      <c r="AB77" s="21"/>
      <c r="AC77" s="21" t="s">
        <v>50</v>
      </c>
      <c r="AD77" s="21"/>
      <c r="AE77" s="21"/>
      <c r="AF77" s="21"/>
      <c r="AG77" s="21"/>
      <c r="AH77" s="21"/>
      <c r="AI77" s="21" t="s">
        <v>50</v>
      </c>
      <c r="AJ77" s="21"/>
      <c r="AK77" s="21" t="s">
        <v>50</v>
      </c>
      <c r="AL77" s="21" t="s">
        <v>160</v>
      </c>
      <c r="AM77" s="21" t="s">
        <v>50</v>
      </c>
      <c r="AN77" s="21"/>
      <c r="AO77" s="21"/>
      <c r="AP77" s="21"/>
    </row>
    <row r="78">
      <c r="A78" s="42" t="s">
        <v>161</v>
      </c>
      <c r="B78" s="8"/>
      <c r="C78" s="21"/>
      <c r="D78" s="21"/>
      <c r="E78" s="21"/>
      <c r="F78" s="21"/>
      <c r="G78" s="21"/>
      <c r="H78" s="21"/>
      <c r="I78" s="21"/>
      <c r="J78" s="21"/>
      <c r="K78" s="21"/>
      <c r="L78" s="21"/>
      <c r="M78" s="21"/>
      <c r="N78" s="21"/>
      <c r="O78" s="21" t="s">
        <v>50</v>
      </c>
      <c r="P78" s="21"/>
      <c r="Q78" s="21" t="s">
        <v>50</v>
      </c>
      <c r="R78" s="21"/>
      <c r="S78" s="21"/>
      <c r="T78" s="21"/>
      <c r="U78" s="21"/>
      <c r="V78" s="21"/>
      <c r="W78" s="21"/>
      <c r="X78" s="21"/>
      <c r="Y78" s="21"/>
      <c r="Z78" s="21"/>
      <c r="AA78" s="21" t="s">
        <v>50</v>
      </c>
      <c r="AB78" s="21"/>
      <c r="AC78" s="21" t="s">
        <v>50</v>
      </c>
      <c r="AD78" s="21"/>
      <c r="AE78" s="21"/>
      <c r="AF78" s="21"/>
      <c r="AG78" s="21"/>
      <c r="AH78" s="21"/>
      <c r="AI78" s="21" t="s">
        <v>50</v>
      </c>
      <c r="AJ78" s="21"/>
      <c r="AK78" s="21" t="s">
        <v>53</v>
      </c>
      <c r="AL78" s="21"/>
      <c r="AM78" s="21" t="s">
        <v>50</v>
      </c>
      <c r="AN78" s="21"/>
      <c r="AO78" s="21"/>
      <c r="AP78" s="21"/>
    </row>
    <row r="79">
      <c r="A79" s="42" t="s">
        <v>162</v>
      </c>
      <c r="B79" s="8"/>
      <c r="C79" s="21"/>
      <c r="D79" s="21"/>
      <c r="E79" s="21"/>
      <c r="F79" s="21"/>
      <c r="G79" s="21"/>
      <c r="H79" s="21"/>
      <c r="I79" s="21"/>
      <c r="J79" s="21"/>
      <c r="K79" s="21"/>
      <c r="L79" s="21"/>
      <c r="M79" s="21"/>
      <c r="N79" s="21"/>
      <c r="O79" s="21" t="s">
        <v>50</v>
      </c>
      <c r="P79" s="21"/>
      <c r="Q79" s="21" t="s">
        <v>50</v>
      </c>
      <c r="R79" s="21"/>
      <c r="S79" s="21"/>
      <c r="T79" s="21"/>
      <c r="U79" s="21"/>
      <c r="V79" s="21"/>
      <c r="W79" s="21"/>
      <c r="X79" s="21"/>
      <c r="Y79" s="21"/>
      <c r="Z79" s="21"/>
      <c r="AA79" s="21" t="s">
        <v>50</v>
      </c>
      <c r="AB79" s="21"/>
      <c r="AC79" s="21" t="s">
        <v>50</v>
      </c>
      <c r="AD79" s="21"/>
      <c r="AE79" s="21"/>
      <c r="AF79" s="21"/>
      <c r="AG79" s="21"/>
      <c r="AH79" s="21"/>
      <c r="AI79" s="21" t="s">
        <v>50</v>
      </c>
      <c r="AJ79" s="21"/>
      <c r="AK79" s="21" t="s">
        <v>53</v>
      </c>
      <c r="AL79" s="21"/>
      <c r="AM79" s="21" t="s">
        <v>50</v>
      </c>
      <c r="AN79" s="21"/>
      <c r="AO79" s="21"/>
      <c r="AP79" s="21"/>
    </row>
    <row r="80">
      <c r="A80" s="42" t="s">
        <v>163</v>
      </c>
      <c r="B80" s="8"/>
      <c r="C80" s="21"/>
      <c r="D80" s="21"/>
      <c r="E80" s="21"/>
      <c r="F80" s="21"/>
      <c r="G80" s="21"/>
      <c r="H80" s="21"/>
      <c r="I80" s="21"/>
      <c r="J80" s="21"/>
      <c r="K80" s="21"/>
      <c r="L80" s="21"/>
      <c r="M80" s="21"/>
      <c r="N80" s="21"/>
      <c r="O80" s="21" t="s">
        <v>50</v>
      </c>
      <c r="P80" s="21"/>
      <c r="Q80" s="21" t="s">
        <v>50</v>
      </c>
      <c r="R80" s="21"/>
      <c r="S80" s="21"/>
      <c r="T80" s="21"/>
      <c r="U80" s="21"/>
      <c r="V80" s="21"/>
      <c r="W80" s="21"/>
      <c r="X80" s="21"/>
      <c r="Y80" s="21"/>
      <c r="Z80" s="21"/>
      <c r="AA80" s="21" t="s">
        <v>50</v>
      </c>
      <c r="AB80" s="21"/>
      <c r="AC80" s="21" t="s">
        <v>50</v>
      </c>
      <c r="AD80" s="21"/>
      <c r="AE80" s="21"/>
      <c r="AF80" s="21"/>
      <c r="AG80" s="21"/>
      <c r="AH80" s="21"/>
      <c r="AI80" s="21"/>
      <c r="AJ80" s="21"/>
      <c r="AK80" s="21" t="s">
        <v>53</v>
      </c>
      <c r="AL80" s="21"/>
      <c r="AM80" s="21" t="s">
        <v>50</v>
      </c>
      <c r="AN80" s="21"/>
      <c r="AO80" s="21"/>
      <c r="AP80" s="21"/>
    </row>
    <row r="81">
      <c r="A81" s="42" t="s">
        <v>164</v>
      </c>
      <c r="B81" s="8"/>
      <c r="C81" s="21"/>
      <c r="D81" s="21"/>
      <c r="E81" s="21"/>
      <c r="F81" s="21"/>
      <c r="G81" s="21"/>
      <c r="H81" s="21"/>
      <c r="I81" s="21"/>
      <c r="J81" s="21"/>
      <c r="K81" s="21"/>
      <c r="L81" s="21"/>
      <c r="M81" s="21"/>
      <c r="N81" s="21"/>
      <c r="O81" s="21" t="s">
        <v>50</v>
      </c>
      <c r="P81" s="21"/>
      <c r="Q81" s="21" t="s">
        <v>50</v>
      </c>
      <c r="R81" s="21"/>
      <c r="S81" s="21"/>
      <c r="T81" s="21"/>
      <c r="U81" s="21"/>
      <c r="V81" s="21"/>
      <c r="W81" s="21"/>
      <c r="X81" s="21"/>
      <c r="Y81" s="21"/>
      <c r="Z81" s="21"/>
      <c r="AA81" s="21" t="s">
        <v>50</v>
      </c>
      <c r="AB81" s="21"/>
      <c r="AC81" s="21" t="s">
        <v>50</v>
      </c>
      <c r="AD81" s="21"/>
      <c r="AE81" s="21"/>
      <c r="AF81" s="21"/>
      <c r="AG81" s="21"/>
      <c r="AH81" s="21"/>
      <c r="AI81" s="21"/>
      <c r="AJ81" s="21"/>
      <c r="AK81" s="21" t="s">
        <v>53</v>
      </c>
      <c r="AL81" s="21"/>
      <c r="AM81" s="21" t="s">
        <v>50</v>
      </c>
      <c r="AN81" s="21"/>
      <c r="AO81" s="21"/>
      <c r="AP81" s="21"/>
    </row>
    <row r="82">
      <c r="A82" s="42" t="s">
        <v>165</v>
      </c>
      <c r="B82" s="8"/>
      <c r="C82" s="21"/>
      <c r="D82" s="21"/>
      <c r="E82" s="21"/>
      <c r="F82" s="21"/>
      <c r="G82" s="21"/>
      <c r="H82" s="21"/>
      <c r="I82" s="21"/>
      <c r="J82" s="21"/>
      <c r="K82" s="21"/>
      <c r="L82" s="21"/>
      <c r="M82" s="21"/>
      <c r="N82" s="21"/>
      <c r="O82" s="21"/>
      <c r="P82" s="21"/>
      <c r="Q82" s="21" t="s">
        <v>50</v>
      </c>
      <c r="R82" s="21"/>
      <c r="S82" s="21"/>
      <c r="T82" s="21"/>
      <c r="U82" s="21"/>
      <c r="V82" s="21"/>
      <c r="W82" s="21"/>
      <c r="X82" s="21"/>
      <c r="Y82" s="21"/>
      <c r="Z82" s="21"/>
      <c r="AA82" s="21" t="s">
        <v>50</v>
      </c>
      <c r="AB82" s="21"/>
      <c r="AC82" s="21" t="s">
        <v>50</v>
      </c>
      <c r="AD82" s="21"/>
      <c r="AE82" s="21"/>
      <c r="AF82" s="21"/>
      <c r="AG82" s="21"/>
      <c r="AH82" s="21"/>
      <c r="AI82" s="21"/>
      <c r="AJ82" s="21"/>
      <c r="AK82" s="21" t="s">
        <v>53</v>
      </c>
      <c r="AL82" s="21"/>
      <c r="AM82" s="21" t="s">
        <v>50</v>
      </c>
      <c r="AN82" s="21"/>
      <c r="AO82" s="21"/>
      <c r="AP82" s="21"/>
    </row>
    <row r="83">
      <c r="A83" s="42" t="s">
        <v>166</v>
      </c>
      <c r="B83" s="8"/>
      <c r="C83" s="21"/>
      <c r="D83" s="21"/>
      <c r="E83" s="21"/>
      <c r="F83" s="21"/>
      <c r="G83" s="21"/>
      <c r="H83" s="21"/>
      <c r="I83" s="21"/>
      <c r="J83" s="21"/>
      <c r="K83" s="21"/>
      <c r="L83" s="21"/>
      <c r="M83" s="21"/>
      <c r="N83" s="21"/>
      <c r="O83" s="21"/>
      <c r="P83" s="21"/>
      <c r="Q83" s="21" t="s">
        <v>50</v>
      </c>
      <c r="R83" s="21"/>
      <c r="S83" s="21"/>
      <c r="T83" s="21"/>
      <c r="U83" s="21"/>
      <c r="V83" s="21"/>
      <c r="W83" s="21"/>
      <c r="X83" s="21"/>
      <c r="Y83" s="21"/>
      <c r="Z83" s="21"/>
      <c r="AA83" s="21" t="s">
        <v>50</v>
      </c>
      <c r="AB83" s="21"/>
      <c r="AC83" s="21"/>
      <c r="AD83" s="21"/>
      <c r="AE83" s="21"/>
      <c r="AF83" s="21"/>
      <c r="AG83" s="21"/>
      <c r="AH83" s="21"/>
      <c r="AI83" s="21"/>
      <c r="AJ83" s="21"/>
      <c r="AK83" s="21" t="s">
        <v>53</v>
      </c>
      <c r="AL83" s="21"/>
      <c r="AM83" s="21" t="s">
        <v>50</v>
      </c>
      <c r="AN83" s="21"/>
      <c r="AO83" s="21"/>
      <c r="AP83" s="21"/>
    </row>
    <row r="84">
      <c r="A84" s="42" t="s">
        <v>167</v>
      </c>
      <c r="B84" s="8"/>
      <c r="C84" s="21"/>
      <c r="D84" s="21"/>
      <c r="E84" s="21"/>
      <c r="F84" s="21"/>
      <c r="G84" s="21"/>
      <c r="H84" s="21"/>
      <c r="I84" s="21"/>
      <c r="J84" s="21"/>
      <c r="K84" s="21"/>
      <c r="L84" s="21"/>
      <c r="M84" s="21"/>
      <c r="N84" s="21"/>
      <c r="O84" s="21"/>
      <c r="P84" s="21"/>
      <c r="Q84" s="21" t="s">
        <v>50</v>
      </c>
      <c r="R84" s="21"/>
      <c r="S84" s="21"/>
      <c r="T84" s="21"/>
      <c r="U84" s="21"/>
      <c r="V84" s="21"/>
      <c r="W84" s="21"/>
      <c r="X84" s="21"/>
      <c r="Y84" s="21"/>
      <c r="Z84" s="21"/>
      <c r="AA84" s="21"/>
      <c r="AB84" s="21"/>
      <c r="AC84" s="21"/>
      <c r="AD84" s="21"/>
      <c r="AE84" s="21"/>
      <c r="AF84" s="21"/>
      <c r="AG84" s="21"/>
      <c r="AH84" s="21"/>
      <c r="AI84" s="21"/>
      <c r="AJ84" s="21"/>
      <c r="AK84" s="21" t="s">
        <v>53</v>
      </c>
      <c r="AL84" s="21"/>
      <c r="AM84" s="21" t="s">
        <v>50</v>
      </c>
      <c r="AN84" s="21"/>
      <c r="AO84" s="21"/>
      <c r="AP84" s="21"/>
    </row>
    <row r="85">
      <c r="A85" s="42" t="s">
        <v>168</v>
      </c>
      <c r="B85" s="8"/>
      <c r="C85" s="21"/>
      <c r="D85" s="21"/>
      <c r="E85" s="21"/>
      <c r="F85" s="21"/>
      <c r="G85" s="21"/>
      <c r="H85" s="21"/>
      <c r="I85" s="21"/>
      <c r="J85" s="21"/>
      <c r="K85" s="21"/>
      <c r="L85" s="21"/>
      <c r="M85" s="21"/>
      <c r="N85" s="21"/>
      <c r="O85" s="21"/>
      <c r="P85" s="21"/>
      <c r="Q85" s="21" t="s">
        <v>50</v>
      </c>
      <c r="R85" s="21"/>
      <c r="S85" s="21"/>
      <c r="T85" s="21"/>
      <c r="U85" s="21"/>
      <c r="V85" s="21"/>
      <c r="W85" s="21"/>
      <c r="X85" s="21"/>
      <c r="Y85" s="21"/>
      <c r="Z85" s="21"/>
      <c r="AA85" s="21"/>
      <c r="AB85" s="21"/>
      <c r="AC85" s="21"/>
      <c r="AD85" s="21"/>
      <c r="AE85" s="21"/>
      <c r="AF85" s="21"/>
      <c r="AG85" s="21"/>
      <c r="AH85" s="21"/>
      <c r="AI85" s="21"/>
      <c r="AJ85" s="21"/>
      <c r="AK85" s="21" t="s">
        <v>53</v>
      </c>
      <c r="AL85" s="21"/>
      <c r="AM85" s="21" t="s">
        <v>50</v>
      </c>
      <c r="AN85" s="21"/>
      <c r="AO85" s="21"/>
      <c r="AP85" s="21"/>
    </row>
    <row r="86">
      <c r="A86" s="42" t="s">
        <v>169</v>
      </c>
      <c r="B86" s="8"/>
      <c r="C86" s="21"/>
      <c r="D86" s="21"/>
      <c r="E86" s="21"/>
      <c r="F86" s="21"/>
      <c r="G86" s="21"/>
      <c r="H86" s="21"/>
      <c r="I86" s="21"/>
      <c r="J86" s="21"/>
      <c r="K86" s="21"/>
      <c r="L86" s="21"/>
      <c r="M86" s="21"/>
      <c r="N86" s="21"/>
      <c r="O86" s="21"/>
      <c r="P86" s="21"/>
      <c r="Q86" s="21" t="s">
        <v>50</v>
      </c>
      <c r="R86" s="21"/>
      <c r="S86" s="21"/>
      <c r="T86" s="21"/>
      <c r="U86" s="21"/>
      <c r="V86" s="21"/>
      <c r="W86" s="21"/>
      <c r="X86" s="21"/>
      <c r="Y86" s="21"/>
      <c r="Z86" s="21"/>
      <c r="AA86" s="21"/>
      <c r="AB86" s="21"/>
      <c r="AC86" s="21"/>
      <c r="AD86" s="21"/>
      <c r="AE86" s="21"/>
      <c r="AF86" s="21"/>
      <c r="AG86" s="21"/>
      <c r="AH86" s="21"/>
      <c r="AI86" s="21"/>
      <c r="AJ86" s="21"/>
      <c r="AK86" s="21" t="s">
        <v>50</v>
      </c>
      <c r="AL86" s="21" t="s">
        <v>160</v>
      </c>
      <c r="AM86" s="21" t="s">
        <v>50</v>
      </c>
      <c r="AN86" s="21"/>
      <c r="AO86" s="21"/>
      <c r="AP86" s="21"/>
    </row>
    <row r="87">
      <c r="A87" s="42" t="s">
        <v>170</v>
      </c>
      <c r="B87" s="8"/>
      <c r="C87" s="21"/>
      <c r="D87" s="21"/>
      <c r="E87" s="21"/>
      <c r="F87" s="21"/>
      <c r="G87" s="21"/>
      <c r="H87" s="21"/>
      <c r="I87" s="21"/>
      <c r="J87" s="21"/>
      <c r="K87" s="21"/>
      <c r="L87" s="21"/>
      <c r="M87" s="21"/>
      <c r="N87" s="21"/>
      <c r="O87" s="21"/>
      <c r="P87" s="21"/>
      <c r="Q87" s="21" t="s">
        <v>50</v>
      </c>
      <c r="R87" s="21"/>
      <c r="S87" s="21"/>
      <c r="T87" s="21"/>
      <c r="U87" s="21"/>
      <c r="V87" s="21"/>
      <c r="W87" s="21"/>
      <c r="X87" s="21"/>
      <c r="Y87" s="21"/>
      <c r="Z87" s="21"/>
      <c r="AA87" s="21"/>
      <c r="AB87" s="21"/>
      <c r="AC87" s="21"/>
      <c r="AD87" s="21"/>
      <c r="AE87" s="21"/>
      <c r="AF87" s="21"/>
      <c r="AG87" s="21"/>
      <c r="AH87" s="21"/>
      <c r="AI87" s="21"/>
      <c r="AJ87" s="21"/>
      <c r="AK87" s="21" t="s">
        <v>53</v>
      </c>
      <c r="AL87" s="21"/>
      <c r="AM87" s="21" t="s">
        <v>50</v>
      </c>
      <c r="AN87" s="21"/>
      <c r="AO87" s="21"/>
      <c r="AP87" s="21"/>
    </row>
    <row r="88">
      <c r="A88" s="42" t="s">
        <v>171</v>
      </c>
      <c r="B88" s="8"/>
      <c r="C88" s="21"/>
      <c r="D88" s="21"/>
      <c r="E88" s="21"/>
      <c r="F88" s="21"/>
      <c r="G88" s="21"/>
      <c r="H88" s="21"/>
      <c r="I88" s="21"/>
      <c r="J88" s="21"/>
      <c r="K88" s="21"/>
      <c r="L88" s="21"/>
      <c r="M88" s="21"/>
      <c r="N88" s="21"/>
      <c r="O88" s="21"/>
      <c r="P88" s="21"/>
      <c r="Q88" s="21" t="s">
        <v>50</v>
      </c>
      <c r="R88" s="21"/>
      <c r="S88" s="21"/>
      <c r="T88" s="21"/>
      <c r="U88" s="21"/>
      <c r="V88" s="21"/>
      <c r="W88" s="21"/>
      <c r="X88" s="21"/>
      <c r="Y88" s="21"/>
      <c r="Z88" s="21"/>
      <c r="AA88" s="21"/>
      <c r="AB88" s="21"/>
      <c r="AC88" s="21"/>
      <c r="AD88" s="21"/>
      <c r="AE88" s="21"/>
      <c r="AF88" s="21"/>
      <c r="AG88" s="21"/>
      <c r="AH88" s="21"/>
      <c r="AI88" s="21"/>
      <c r="AJ88" s="21"/>
      <c r="AK88" s="21" t="s">
        <v>53</v>
      </c>
      <c r="AL88" s="21"/>
      <c r="AM88" s="21" t="s">
        <v>50</v>
      </c>
      <c r="AN88" s="21"/>
      <c r="AO88" s="21"/>
      <c r="AP88" s="21"/>
    </row>
    <row r="89">
      <c r="A89" s="42" t="s">
        <v>172</v>
      </c>
      <c r="B89" s="8"/>
      <c r="C89" s="21"/>
      <c r="D89" s="21"/>
      <c r="E89" s="21"/>
      <c r="F89" s="21"/>
      <c r="G89" s="21"/>
      <c r="H89" s="21"/>
      <c r="I89" s="21"/>
      <c r="J89" s="21"/>
      <c r="K89" s="21"/>
      <c r="L89" s="21"/>
      <c r="M89" s="21"/>
      <c r="N89" s="21"/>
      <c r="O89" s="21"/>
      <c r="P89" s="21"/>
      <c r="Q89" s="21" t="s">
        <v>50</v>
      </c>
      <c r="R89" s="21"/>
      <c r="S89" s="21"/>
      <c r="T89" s="21"/>
      <c r="U89" s="21"/>
      <c r="V89" s="21"/>
      <c r="W89" s="21"/>
      <c r="X89" s="21"/>
      <c r="Y89" s="21"/>
      <c r="Z89" s="21"/>
      <c r="AA89" s="21"/>
      <c r="AB89" s="21"/>
      <c r="AC89" s="21"/>
      <c r="AD89" s="21"/>
      <c r="AE89" s="21"/>
      <c r="AF89" s="21"/>
      <c r="AG89" s="21"/>
      <c r="AH89" s="21"/>
      <c r="AI89" s="21"/>
      <c r="AJ89" s="21"/>
      <c r="AK89" s="21" t="s">
        <v>53</v>
      </c>
      <c r="AL89" s="21"/>
      <c r="AM89" s="21" t="s">
        <v>50</v>
      </c>
      <c r="AN89" s="21"/>
      <c r="AO89" s="21"/>
      <c r="AP89" s="21"/>
    </row>
    <row r="90">
      <c r="A90" s="42" t="s">
        <v>173</v>
      </c>
      <c r="B90" s="8"/>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t="s">
        <v>53</v>
      </c>
      <c r="AL90" s="21"/>
      <c r="AM90" s="21" t="s">
        <v>50</v>
      </c>
      <c r="AN90" s="21"/>
      <c r="AO90" s="21"/>
      <c r="AP90" s="21"/>
    </row>
    <row r="91">
      <c r="A91" s="42" t="s">
        <v>174</v>
      </c>
      <c r="B91" s="8"/>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t="s">
        <v>53</v>
      </c>
      <c r="AL91" s="21"/>
      <c r="AM91" s="21" t="s">
        <v>50</v>
      </c>
      <c r="AN91" s="21"/>
      <c r="AO91" s="21"/>
      <c r="AP91" s="21"/>
    </row>
    <row r="92">
      <c r="A92" s="42" t="s">
        <v>175</v>
      </c>
      <c r="B92" s="8"/>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t="s">
        <v>53</v>
      </c>
      <c r="AL92" s="21"/>
      <c r="AM92" s="21" t="s">
        <v>50</v>
      </c>
      <c r="AN92" s="21"/>
      <c r="AO92" s="21"/>
      <c r="AP92" s="21"/>
    </row>
    <row r="93">
      <c r="A93" s="42" t="s">
        <v>176</v>
      </c>
      <c r="B93" s="8"/>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t="s">
        <v>53</v>
      </c>
      <c r="AL93" s="21"/>
      <c r="AM93" s="21" t="s">
        <v>50</v>
      </c>
      <c r="AN93" s="21"/>
      <c r="AO93" s="21"/>
      <c r="AP93" s="21"/>
    </row>
    <row r="94">
      <c r="A94" s="42" t="s">
        <v>177</v>
      </c>
      <c r="B94" s="8"/>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t="s">
        <v>53</v>
      </c>
      <c r="AL94" s="21"/>
      <c r="AM94" s="21" t="s">
        <v>50</v>
      </c>
      <c r="AN94" s="21"/>
      <c r="AO94" s="21"/>
      <c r="AP94" s="21"/>
    </row>
    <row r="95">
      <c r="A95" s="42" t="s">
        <v>178</v>
      </c>
      <c r="B95" s="8"/>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t="s">
        <v>53</v>
      </c>
      <c r="AL95" s="21"/>
      <c r="AM95" s="21" t="s">
        <v>50</v>
      </c>
      <c r="AN95" s="21"/>
      <c r="AO95" s="21"/>
      <c r="AP95" s="21"/>
    </row>
    <row r="96">
      <c r="A96" s="42" t="s">
        <v>179</v>
      </c>
      <c r="B96" s="8"/>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t="s">
        <v>53</v>
      </c>
      <c r="AL96" s="21"/>
      <c r="AM96" s="21" t="s">
        <v>50</v>
      </c>
      <c r="AN96" s="21"/>
      <c r="AO96" s="21"/>
      <c r="AP96" s="21"/>
    </row>
    <row r="97">
      <c r="A97" s="42" t="s">
        <v>180</v>
      </c>
      <c r="B97" s="8"/>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t="s">
        <v>53</v>
      </c>
      <c r="AL97" s="21"/>
      <c r="AM97" s="21" t="s">
        <v>50</v>
      </c>
      <c r="AN97" s="21"/>
      <c r="AO97" s="21"/>
      <c r="AP97" s="21"/>
    </row>
    <row r="98">
      <c r="A98" s="42" t="s">
        <v>181</v>
      </c>
      <c r="B98" s="8"/>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t="s">
        <v>50</v>
      </c>
      <c r="AN98" s="21"/>
      <c r="AO98" s="21"/>
      <c r="AP98" s="21"/>
    </row>
    <row r="99">
      <c r="A99" s="42" t="s">
        <v>182</v>
      </c>
      <c r="B99" s="8"/>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t="s">
        <v>50</v>
      </c>
      <c r="AN99" s="21"/>
      <c r="AO99" s="21"/>
      <c r="AP99" s="21"/>
    </row>
    <row r="100">
      <c r="A100" s="42" t="s">
        <v>183</v>
      </c>
      <c r="B100" s="8"/>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t="s">
        <v>50</v>
      </c>
      <c r="AN100" s="21"/>
      <c r="AO100" s="21"/>
      <c r="AP100" s="21"/>
    </row>
    <row r="101">
      <c r="A101" s="42" t="s">
        <v>184</v>
      </c>
      <c r="B101" s="8"/>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t="s">
        <v>50</v>
      </c>
      <c r="AN101" s="21"/>
      <c r="AO101" s="21"/>
      <c r="AP101" s="21"/>
    </row>
    <row r="102">
      <c r="A102" s="42" t="s">
        <v>185</v>
      </c>
      <c r="B102" s="8"/>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t="s">
        <v>50</v>
      </c>
      <c r="AN102" s="21"/>
      <c r="AO102" s="21"/>
      <c r="AP102" s="21"/>
    </row>
    <row r="103">
      <c r="A103" s="42" t="s">
        <v>186</v>
      </c>
      <c r="B103" s="8"/>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t="s">
        <v>50</v>
      </c>
      <c r="AN103" s="21"/>
      <c r="AO103" s="21"/>
      <c r="AP103" s="21"/>
    </row>
    <row r="104">
      <c r="A104" s="42" t="s">
        <v>187</v>
      </c>
      <c r="B104" s="8"/>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t="s">
        <v>50</v>
      </c>
      <c r="AN104" s="21"/>
      <c r="AO104" s="21"/>
      <c r="AP104" s="21"/>
    </row>
    <row r="105">
      <c r="A105" s="42" t="s">
        <v>188</v>
      </c>
      <c r="B105" s="8"/>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t="s">
        <v>50</v>
      </c>
      <c r="AN105" s="21"/>
      <c r="AO105" s="21"/>
      <c r="AP105" s="21"/>
    </row>
    <row r="106">
      <c r="A106" s="42" t="s">
        <v>189</v>
      </c>
      <c r="B106" s="8"/>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t="s">
        <v>50</v>
      </c>
      <c r="AN106" s="21"/>
      <c r="AO106" s="21"/>
      <c r="AP106" s="21"/>
    </row>
    <row r="107">
      <c r="A107" s="42" t="s">
        <v>190</v>
      </c>
      <c r="B107" s="8"/>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t="s">
        <v>50</v>
      </c>
      <c r="AN107" s="21"/>
      <c r="AO107" s="21"/>
      <c r="AP107" s="21"/>
    </row>
    <row r="108">
      <c r="A108" s="42" t="s">
        <v>191</v>
      </c>
      <c r="B108" s="8"/>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t="s">
        <v>50</v>
      </c>
      <c r="AN108" s="21"/>
      <c r="AO108" s="21"/>
      <c r="AP108" s="21"/>
    </row>
    <row r="109">
      <c r="A109" s="42" t="s">
        <v>192</v>
      </c>
      <c r="B109" s="8"/>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t="s">
        <v>50</v>
      </c>
      <c r="AN109" s="21"/>
      <c r="AO109" s="21"/>
      <c r="AP109" s="21"/>
    </row>
    <row r="110">
      <c r="A110" s="42" t="s">
        <v>193</v>
      </c>
      <c r="B110" s="8"/>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t="s">
        <v>50</v>
      </c>
      <c r="AN110" s="21"/>
      <c r="AO110" s="21"/>
      <c r="AP110" s="21"/>
    </row>
    <row r="111">
      <c r="A111" s="42" t="s">
        <v>194</v>
      </c>
      <c r="B111" s="8"/>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t="s">
        <v>50</v>
      </c>
      <c r="AN111" s="21"/>
      <c r="AO111" s="21"/>
      <c r="AP111" s="21"/>
    </row>
    <row r="112">
      <c r="A112" s="42" t="s">
        <v>195</v>
      </c>
      <c r="B112" s="8"/>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t="s">
        <v>50</v>
      </c>
      <c r="AN112" s="21"/>
      <c r="AO112" s="21"/>
      <c r="AP112" s="21"/>
    </row>
    <row r="113">
      <c r="A113" s="42" t="s">
        <v>196</v>
      </c>
      <c r="B113" s="8"/>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t="s">
        <v>50</v>
      </c>
      <c r="AN113" s="21"/>
      <c r="AO113" s="21"/>
      <c r="AP113" s="21"/>
    </row>
    <row r="114">
      <c r="A114" s="42" t="s">
        <v>197</v>
      </c>
      <c r="B114" s="8"/>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t="s">
        <v>50</v>
      </c>
      <c r="AN114" s="21"/>
      <c r="AO114" s="21"/>
      <c r="AP114" s="21"/>
    </row>
    <row r="115">
      <c r="A115" s="42" t="s">
        <v>198</v>
      </c>
      <c r="B115" s="8"/>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t="s">
        <v>50</v>
      </c>
      <c r="AN115" s="21"/>
      <c r="AO115" s="21"/>
      <c r="AP115" s="21"/>
    </row>
    <row r="116">
      <c r="A116" s="42" t="s">
        <v>199</v>
      </c>
      <c r="B116" s="8"/>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t="s">
        <v>50</v>
      </c>
      <c r="AN116" s="21"/>
      <c r="AO116" s="21"/>
      <c r="AP116" s="21"/>
    </row>
    <row r="117">
      <c r="A117" s="42" t="s">
        <v>200</v>
      </c>
      <c r="B117" s="8"/>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t="s">
        <v>50</v>
      </c>
      <c r="AN117" s="21"/>
      <c r="AO117" s="21"/>
      <c r="AP117" s="21"/>
    </row>
    <row r="118">
      <c r="A118" s="42" t="s">
        <v>201</v>
      </c>
      <c r="B118" s="8"/>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t="s">
        <v>50</v>
      </c>
      <c r="AN118" s="21"/>
      <c r="AO118" s="21"/>
      <c r="AP118" s="21"/>
    </row>
    <row r="119">
      <c r="A119" s="42" t="s">
        <v>202</v>
      </c>
      <c r="B119" s="8"/>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t="s">
        <v>50</v>
      </c>
      <c r="AN119" s="21"/>
      <c r="AO119" s="21"/>
      <c r="AP119" s="21"/>
    </row>
    <row r="120">
      <c r="A120" s="42" t="s">
        <v>203</v>
      </c>
      <c r="B120" s="8"/>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t="s">
        <v>50</v>
      </c>
      <c r="AN120" s="21"/>
      <c r="AO120" s="21"/>
      <c r="AP120" s="21"/>
    </row>
    <row r="121">
      <c r="A121" s="42" t="s">
        <v>204</v>
      </c>
      <c r="B121" s="8"/>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t="s">
        <v>50</v>
      </c>
      <c r="AN121" s="21"/>
      <c r="AO121" s="21"/>
      <c r="AP121" s="21"/>
    </row>
    <row r="122">
      <c r="A122" s="42" t="s">
        <v>205</v>
      </c>
      <c r="B122" s="8"/>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t="s">
        <v>50</v>
      </c>
      <c r="AN122" s="21"/>
      <c r="AO122" s="21"/>
      <c r="AP122" s="21"/>
    </row>
    <row r="123">
      <c r="A123" s="42" t="s">
        <v>206</v>
      </c>
      <c r="B123" s="8"/>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t="s">
        <v>50</v>
      </c>
      <c r="AN123" s="21"/>
      <c r="AO123" s="21"/>
      <c r="AP123" s="21"/>
    </row>
    <row r="124">
      <c r="A124" s="42" t="s">
        <v>207</v>
      </c>
      <c r="B124" s="8"/>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t="s">
        <v>50</v>
      </c>
      <c r="AN124" s="21"/>
      <c r="AO124" s="21"/>
      <c r="AP124" s="21"/>
    </row>
    <row r="125">
      <c r="A125" s="42" t="s">
        <v>208</v>
      </c>
      <c r="B125" s="8"/>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t="s">
        <v>50</v>
      </c>
      <c r="AN125" s="21"/>
      <c r="AO125" s="21"/>
      <c r="AP125" s="21"/>
    </row>
    <row r="126">
      <c r="A126" s="42" t="s">
        <v>209</v>
      </c>
      <c r="B126" s="8"/>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t="s">
        <v>50</v>
      </c>
      <c r="AN126" s="21"/>
      <c r="AO126" s="21"/>
      <c r="AP126" s="21"/>
    </row>
    <row r="127">
      <c r="A127" s="42" t="s">
        <v>210</v>
      </c>
      <c r="B127" s="8"/>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t="s">
        <v>50</v>
      </c>
      <c r="AN127" s="21"/>
      <c r="AO127" s="21"/>
      <c r="AP127" s="21"/>
    </row>
    <row r="128">
      <c r="A128" s="42" t="s">
        <v>211</v>
      </c>
      <c r="B128" s="8"/>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t="s">
        <v>50</v>
      </c>
      <c r="AN128" s="21"/>
      <c r="AO128" s="21"/>
      <c r="AP128" s="21"/>
    </row>
    <row r="129">
      <c r="A129" s="42" t="s">
        <v>212</v>
      </c>
      <c r="B129" s="8"/>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t="s">
        <v>50</v>
      </c>
      <c r="AN129" s="21"/>
      <c r="AO129" s="21"/>
      <c r="AP129" s="21"/>
    </row>
    <row r="130">
      <c r="A130" s="42" t="s">
        <v>213</v>
      </c>
      <c r="B130" s="8"/>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t="s">
        <v>50</v>
      </c>
      <c r="AN130" s="21"/>
      <c r="AO130" s="21"/>
      <c r="AP130" s="21"/>
    </row>
    <row r="131">
      <c r="A131" s="42" t="s">
        <v>214</v>
      </c>
      <c r="B131" s="8"/>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t="s">
        <v>50</v>
      </c>
      <c r="AN131" s="21"/>
      <c r="AO131" s="21"/>
      <c r="AP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t="s">
        <v>50</v>
      </c>
      <c r="AN132" s="21"/>
      <c r="AO132" s="21"/>
      <c r="AP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t="s">
        <v>50</v>
      </c>
      <c r="AN133" s="21"/>
      <c r="AO133" s="21"/>
      <c r="AP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t="s">
        <v>50</v>
      </c>
      <c r="AN134" s="21"/>
      <c r="AO134" s="21"/>
      <c r="AP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t="s">
        <v>50</v>
      </c>
      <c r="AN135" s="21"/>
      <c r="AO135" s="21"/>
      <c r="AP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t="s">
        <v>50</v>
      </c>
      <c r="AN136" s="21"/>
      <c r="AO136" s="21"/>
      <c r="AP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t="s">
        <v>50</v>
      </c>
      <c r="AN137" s="21"/>
      <c r="AO137" s="21"/>
      <c r="AP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t="s">
        <v>50</v>
      </c>
      <c r="AN138" s="21"/>
      <c r="AO138" s="21"/>
      <c r="AP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t="s">
        <v>50</v>
      </c>
      <c r="AN139" s="21"/>
      <c r="AO139" s="21"/>
      <c r="AP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t="s">
        <v>50</v>
      </c>
      <c r="AN140" s="21"/>
      <c r="AO140" s="21"/>
      <c r="AP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t="s">
        <v>50</v>
      </c>
      <c r="AN141" s="21"/>
      <c r="AO141" s="21"/>
      <c r="AP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t="s">
        <v>50</v>
      </c>
      <c r="AN142" s="21"/>
      <c r="AO142" s="21"/>
      <c r="AP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t="s">
        <v>50</v>
      </c>
      <c r="AN143" s="21"/>
      <c r="AO143" s="21"/>
      <c r="AP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t="s">
        <v>50</v>
      </c>
      <c r="AN144" s="21"/>
      <c r="AO144" s="21"/>
      <c r="AP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t="s">
        <v>50</v>
      </c>
      <c r="AN145" s="21"/>
      <c r="AO145" s="21"/>
      <c r="AP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t="s">
        <v>53</v>
      </c>
      <c r="AN146" s="21"/>
      <c r="AO146" s="21"/>
      <c r="AP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t="s">
        <v>53</v>
      </c>
      <c r="AN147" s="21"/>
      <c r="AO147" s="21"/>
      <c r="AP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t="s">
        <v>50</v>
      </c>
      <c r="AN148" s="21"/>
      <c r="AO148" s="21"/>
      <c r="AP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t="s">
        <v>50</v>
      </c>
      <c r="AN149" s="21"/>
      <c r="AO149" s="21"/>
      <c r="AP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t="s">
        <v>50</v>
      </c>
      <c r="AN150" s="21"/>
      <c r="AO150" s="21"/>
      <c r="AP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t="s">
        <v>50</v>
      </c>
      <c r="AN151" s="21"/>
      <c r="AO151" s="21"/>
      <c r="AP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t="s">
        <v>50</v>
      </c>
      <c r="AN152" s="21"/>
      <c r="AO152" s="21"/>
      <c r="AP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t="s">
        <v>50</v>
      </c>
      <c r="AN153" s="21"/>
      <c r="AO153" s="21"/>
      <c r="AP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t="s">
        <v>50</v>
      </c>
      <c r="AN154" s="21"/>
      <c r="AO154" s="21"/>
      <c r="AP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t="s">
        <v>50</v>
      </c>
      <c r="AN155" s="21"/>
      <c r="AO155" s="21"/>
      <c r="AP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t="s">
        <v>50</v>
      </c>
      <c r="AN156" s="21"/>
      <c r="AO156" s="21"/>
      <c r="AP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t="s">
        <v>50</v>
      </c>
      <c r="AN157" s="21"/>
      <c r="AO157" s="21"/>
      <c r="AP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t="s">
        <v>50</v>
      </c>
      <c r="AN158" s="21"/>
      <c r="AO158" s="21"/>
      <c r="AP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t="s">
        <v>50</v>
      </c>
      <c r="AN159" s="21"/>
      <c r="AO159" s="21"/>
      <c r="AP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t="s">
        <v>50</v>
      </c>
      <c r="AN160" s="21"/>
      <c r="AO160" s="21"/>
      <c r="AP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t="s">
        <v>50</v>
      </c>
      <c r="AN161" s="21"/>
      <c r="AO161" s="21"/>
      <c r="AP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t="s">
        <v>50</v>
      </c>
      <c r="AN162" s="21"/>
      <c r="AO162" s="21"/>
      <c r="AP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t="s">
        <v>50</v>
      </c>
      <c r="AN163" s="21"/>
      <c r="AO163" s="21"/>
      <c r="AP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t="s">
        <v>50</v>
      </c>
      <c r="AN164" s="21"/>
      <c r="AO164" s="21"/>
      <c r="AP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t="s">
        <v>51</v>
      </c>
      <c r="AN165" s="21"/>
      <c r="AO165" s="21"/>
      <c r="AP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t="s">
        <v>51</v>
      </c>
      <c r="AN166" s="21"/>
      <c r="AO166" s="21"/>
      <c r="AP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t="s">
        <v>51</v>
      </c>
      <c r="AN167" s="21"/>
      <c r="AO167" s="21"/>
      <c r="AP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t="s">
        <v>51</v>
      </c>
      <c r="AN168" s="21"/>
      <c r="AO168" s="21"/>
      <c r="AP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t="s">
        <v>51</v>
      </c>
      <c r="AN169" s="21"/>
      <c r="AO169" s="21"/>
      <c r="AP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t="s">
        <v>51</v>
      </c>
      <c r="AN170" s="21" t="s">
        <v>215</v>
      </c>
      <c r="AO170" s="21"/>
      <c r="AP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t="s">
        <v>51</v>
      </c>
      <c r="AN171" s="21" t="s">
        <v>216</v>
      </c>
      <c r="AO171" s="21"/>
      <c r="AP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t="s">
        <v>51</v>
      </c>
      <c r="AN172" s="21" t="s">
        <v>215</v>
      </c>
      <c r="AO172" s="21"/>
      <c r="AP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t="s">
        <v>53</v>
      </c>
      <c r="AN173" s="21"/>
      <c r="AO173" s="21"/>
      <c r="AP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t="s">
        <v>51</v>
      </c>
      <c r="AN174" s="21"/>
      <c r="AO174" s="21"/>
      <c r="AP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t="s">
        <v>51</v>
      </c>
      <c r="AN175" s="21"/>
      <c r="AO175" s="21"/>
      <c r="AP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t="s">
        <v>51</v>
      </c>
      <c r="AN176" s="21"/>
      <c r="AO176" s="21"/>
      <c r="AP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t="s">
        <v>51</v>
      </c>
      <c r="AN177" s="21"/>
      <c r="AO177" s="21"/>
      <c r="AP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t="s">
        <v>53</v>
      </c>
      <c r="AN178" s="21"/>
      <c r="AO178" s="21"/>
      <c r="AP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t="s">
        <v>53</v>
      </c>
      <c r="AN179" s="21"/>
      <c r="AO179" s="21"/>
      <c r="AP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t="s">
        <v>53</v>
      </c>
      <c r="AN180" s="21"/>
      <c r="AO180" s="21"/>
      <c r="AP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t="s">
        <v>51</v>
      </c>
      <c r="AN181" s="21" t="s">
        <v>217</v>
      </c>
      <c r="AO181" s="21"/>
      <c r="AP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t="s">
        <v>51</v>
      </c>
      <c r="AN182" s="21" t="s">
        <v>217</v>
      </c>
      <c r="AO182" s="21"/>
      <c r="AP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row>
  </sheetData>
  <mergeCells count="162">
    <mergeCell ref="AC9:AD9"/>
    <mergeCell ref="AE9:AF9"/>
    <mergeCell ref="AG9:AH9"/>
    <mergeCell ref="AI9:AJ9"/>
    <mergeCell ref="AK9:AL9"/>
    <mergeCell ref="AM9:AN9"/>
    <mergeCell ref="AO9:AP9"/>
    <mergeCell ref="O9:P9"/>
    <mergeCell ref="Q9:R9"/>
    <mergeCell ref="S9:T9"/>
    <mergeCell ref="U9:V9"/>
    <mergeCell ref="W9:X9"/>
    <mergeCell ref="Y9:Z9"/>
    <mergeCell ref="AA9:AB9"/>
    <mergeCell ref="E10:F10"/>
    <mergeCell ref="G10:H10"/>
    <mergeCell ref="A4:A7"/>
    <mergeCell ref="E9:F9"/>
    <mergeCell ref="G9:H9"/>
    <mergeCell ref="I9:J9"/>
    <mergeCell ref="K9:L9"/>
    <mergeCell ref="M9:N9"/>
    <mergeCell ref="A10:B11"/>
    <mergeCell ref="M10:N10"/>
    <mergeCell ref="I10:J10"/>
    <mergeCell ref="K10:L10"/>
    <mergeCell ref="O10:P10"/>
    <mergeCell ref="Q10:R10"/>
    <mergeCell ref="S10:T10"/>
    <mergeCell ref="U10:V10"/>
    <mergeCell ref="W10:X10"/>
    <mergeCell ref="AM10:AN10"/>
    <mergeCell ref="AO10:AP10"/>
    <mergeCell ref="Y10:Z10"/>
    <mergeCell ref="AA10:AB10"/>
    <mergeCell ref="AC10:AD10"/>
    <mergeCell ref="AE10:AF10"/>
    <mergeCell ref="AG10:AH10"/>
    <mergeCell ref="AI10:AJ10"/>
    <mergeCell ref="AK10:AL10"/>
    <mergeCell ref="C9:D9"/>
    <mergeCell ref="C10:D10"/>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9:B129"/>
    <mergeCell ref="A130:B130"/>
    <mergeCell ref="A131:B131"/>
    <mergeCell ref="A122:B122"/>
    <mergeCell ref="A123:B123"/>
    <mergeCell ref="A124:B124"/>
    <mergeCell ref="A125:B125"/>
    <mergeCell ref="A126:B126"/>
    <mergeCell ref="A127:B127"/>
    <mergeCell ref="A128:B12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s>
  <conditionalFormatting sqref="C12:C111 E12:E111 G12:G111 I12:AI111 AK12:AK994 AM12:AM994 AO12:AO994">
    <cfRule type="cellIs" dxfId="0" priority="1" operator="equal">
      <formula>"OPEN"</formula>
    </cfRule>
  </conditionalFormatting>
  <conditionalFormatting sqref="C12:C111 E12:E111 G12:G111 I12:AI111 AK12:AK994 AM12:AM994 AO12:AO994">
    <cfRule type="cellIs" dxfId="1" priority="2" operator="equal">
      <formula>"FAILED"</formula>
    </cfRule>
  </conditionalFormatting>
  <conditionalFormatting sqref="C12:C111 E12:E111 G12:G111 I12:AI111 AK12 AM12 AO12">
    <cfRule type="cellIs" dxfId="2" priority="3" operator="equal">
      <formula>"BLOCKED"</formula>
    </cfRule>
  </conditionalFormatting>
  <conditionalFormatting sqref="C12:C111 E12:E111 G12:G111 I12:AI111 AK12:AK994 AM12:AM994 AO12:AO994">
    <cfRule type="cellIs" dxfId="3" priority="4" operator="equal">
      <formula>"PASSED"</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7.25"/>
    <col customWidth="1" min="2" max="2" width="61.13"/>
    <col customWidth="1" min="3" max="3" width="50.13"/>
    <col customWidth="1" min="4" max="4" width="48.38"/>
    <col customWidth="1" min="5" max="5" width="56.63"/>
    <col customWidth="1" min="6" max="6" width="21.63"/>
    <col customWidth="1" min="7" max="7" width="28.38"/>
  </cols>
  <sheetData>
    <row r="1">
      <c r="A1" s="47" t="s">
        <v>30</v>
      </c>
      <c r="B1" s="48" t="s">
        <v>218</v>
      </c>
      <c r="C1" s="49"/>
      <c r="D1" s="49"/>
      <c r="E1" s="49"/>
      <c r="F1" s="49"/>
      <c r="G1" s="49"/>
      <c r="H1" s="50"/>
      <c r="I1" s="50"/>
      <c r="J1" s="50"/>
      <c r="K1" s="50"/>
      <c r="L1" s="50"/>
      <c r="M1" s="50"/>
      <c r="N1" s="50"/>
      <c r="O1" s="50"/>
      <c r="P1" s="50"/>
      <c r="Q1" s="50"/>
      <c r="R1" s="50"/>
      <c r="S1" s="50"/>
      <c r="T1" s="50"/>
      <c r="U1" s="50"/>
      <c r="V1" s="50"/>
      <c r="W1" s="50"/>
      <c r="X1" s="50"/>
      <c r="Y1" s="50"/>
      <c r="Z1" s="50"/>
    </row>
    <row r="2">
      <c r="A2" s="51" t="s">
        <v>14</v>
      </c>
      <c r="B2" s="51" t="s">
        <v>16</v>
      </c>
      <c r="C2" s="52" t="s">
        <v>18</v>
      </c>
      <c r="D2" s="52" t="s">
        <v>20</v>
      </c>
      <c r="E2" s="52" t="s">
        <v>219</v>
      </c>
      <c r="F2" s="52" t="s">
        <v>24</v>
      </c>
      <c r="G2" s="52" t="s">
        <v>220</v>
      </c>
      <c r="H2" s="50"/>
      <c r="I2" s="50"/>
      <c r="J2" s="50"/>
      <c r="K2" s="50"/>
      <c r="L2" s="50"/>
      <c r="M2" s="50"/>
      <c r="N2" s="50"/>
      <c r="O2" s="50"/>
      <c r="P2" s="50"/>
      <c r="Q2" s="50"/>
      <c r="R2" s="50"/>
      <c r="S2" s="50"/>
      <c r="T2" s="50"/>
      <c r="U2" s="50"/>
      <c r="V2" s="50"/>
      <c r="W2" s="50"/>
      <c r="X2" s="50"/>
      <c r="Y2" s="50"/>
      <c r="Z2" s="50"/>
    </row>
    <row r="3">
      <c r="A3" s="53" t="str">
        <f t="shared" ref="A3:A17" si="1">IF(B3&lt;&gt;"", "US-1-TC-" &amp; TEXT(COUNTA($B$3:B3), "00"), "")
</f>
        <v>US-1-TC-01</v>
      </c>
      <c r="B3" s="53" t="s">
        <v>221</v>
      </c>
      <c r="C3" s="54" t="s">
        <v>222</v>
      </c>
      <c r="D3" s="54" t="s">
        <v>223</v>
      </c>
      <c r="E3" s="55" t="s">
        <v>224</v>
      </c>
      <c r="F3" s="55" t="s">
        <v>53</v>
      </c>
      <c r="G3" s="55"/>
      <c r="H3" s="50"/>
      <c r="I3" s="50"/>
      <c r="J3" s="50"/>
      <c r="K3" s="50"/>
      <c r="L3" s="50"/>
      <c r="M3" s="50"/>
      <c r="N3" s="50"/>
      <c r="O3" s="50"/>
      <c r="P3" s="50"/>
      <c r="Q3" s="50"/>
      <c r="R3" s="50"/>
      <c r="S3" s="50"/>
      <c r="T3" s="50"/>
      <c r="U3" s="50"/>
      <c r="V3" s="50"/>
      <c r="W3" s="50"/>
      <c r="X3" s="50"/>
      <c r="Y3" s="50"/>
      <c r="Z3" s="50"/>
    </row>
    <row r="4">
      <c r="A4" s="53" t="str">
        <f t="shared" si="1"/>
        <v>US-1-TC-02</v>
      </c>
      <c r="B4" s="53" t="s">
        <v>225</v>
      </c>
      <c r="C4" s="54" t="s">
        <v>226</v>
      </c>
      <c r="D4" s="54" t="s">
        <v>227</v>
      </c>
      <c r="E4" s="55" t="s">
        <v>228</v>
      </c>
      <c r="F4" s="55" t="s">
        <v>51</v>
      </c>
      <c r="G4" s="55" t="s">
        <v>58</v>
      </c>
      <c r="H4" s="50"/>
      <c r="I4" s="50"/>
      <c r="J4" s="50"/>
      <c r="K4" s="50"/>
      <c r="L4" s="50"/>
      <c r="M4" s="50"/>
      <c r="N4" s="50"/>
      <c r="O4" s="50"/>
      <c r="P4" s="50"/>
      <c r="Q4" s="50"/>
      <c r="R4" s="50"/>
      <c r="S4" s="50"/>
      <c r="T4" s="50"/>
      <c r="U4" s="50"/>
      <c r="V4" s="50"/>
      <c r="W4" s="50"/>
      <c r="X4" s="50"/>
      <c r="Y4" s="50"/>
      <c r="Z4" s="50"/>
    </row>
    <row r="5">
      <c r="A5" s="53" t="str">
        <f t="shared" si="1"/>
        <v>US-1-TC-03</v>
      </c>
      <c r="B5" s="53" t="s">
        <v>229</v>
      </c>
      <c r="C5" s="54" t="s">
        <v>226</v>
      </c>
      <c r="D5" s="54" t="s">
        <v>230</v>
      </c>
      <c r="E5" s="55" t="s">
        <v>228</v>
      </c>
      <c r="F5" s="55" t="s">
        <v>51</v>
      </c>
      <c r="G5" s="55" t="s">
        <v>61</v>
      </c>
      <c r="H5" s="50"/>
      <c r="I5" s="50"/>
      <c r="J5" s="50"/>
      <c r="K5" s="50"/>
      <c r="L5" s="50"/>
      <c r="M5" s="50"/>
      <c r="N5" s="50"/>
      <c r="O5" s="50"/>
      <c r="P5" s="50"/>
      <c r="Q5" s="50"/>
      <c r="R5" s="50"/>
      <c r="S5" s="50"/>
      <c r="T5" s="50"/>
      <c r="U5" s="50"/>
      <c r="V5" s="50"/>
      <c r="W5" s="50"/>
      <c r="X5" s="50"/>
      <c r="Y5" s="50"/>
      <c r="Z5" s="50"/>
    </row>
    <row r="6">
      <c r="A6" s="53" t="str">
        <f t="shared" si="1"/>
        <v>US-1-TC-04</v>
      </c>
      <c r="B6" s="53" t="s">
        <v>231</v>
      </c>
      <c r="C6" s="54" t="s">
        <v>226</v>
      </c>
      <c r="D6" s="54" t="s">
        <v>232</v>
      </c>
      <c r="E6" s="55" t="s">
        <v>228</v>
      </c>
      <c r="F6" s="55" t="s">
        <v>53</v>
      </c>
      <c r="G6" s="55"/>
      <c r="H6" s="50"/>
      <c r="I6" s="50"/>
      <c r="J6" s="50"/>
      <c r="K6" s="50"/>
      <c r="L6" s="50"/>
      <c r="M6" s="50"/>
      <c r="N6" s="50"/>
      <c r="O6" s="50"/>
      <c r="P6" s="50"/>
      <c r="Q6" s="50"/>
      <c r="R6" s="50"/>
      <c r="S6" s="50"/>
      <c r="T6" s="50"/>
      <c r="U6" s="50"/>
      <c r="V6" s="50"/>
      <c r="W6" s="50"/>
      <c r="X6" s="50"/>
      <c r="Y6" s="50"/>
      <c r="Z6" s="50"/>
    </row>
    <row r="7">
      <c r="A7" s="53" t="str">
        <f t="shared" si="1"/>
        <v>US-1-TC-05</v>
      </c>
      <c r="B7" s="53" t="s">
        <v>233</v>
      </c>
      <c r="C7" s="54" t="s">
        <v>226</v>
      </c>
      <c r="D7" s="54" t="s">
        <v>232</v>
      </c>
      <c r="E7" s="55" t="s">
        <v>234</v>
      </c>
      <c r="F7" s="55" t="s">
        <v>53</v>
      </c>
      <c r="G7" s="56"/>
      <c r="H7" s="50"/>
      <c r="I7" s="50"/>
      <c r="J7" s="50"/>
      <c r="K7" s="50"/>
      <c r="L7" s="50"/>
      <c r="M7" s="50"/>
      <c r="N7" s="50"/>
      <c r="O7" s="50"/>
      <c r="P7" s="50"/>
      <c r="Q7" s="50"/>
      <c r="R7" s="50"/>
      <c r="S7" s="50"/>
      <c r="T7" s="50"/>
      <c r="U7" s="50"/>
      <c r="V7" s="50"/>
      <c r="W7" s="50"/>
      <c r="X7" s="50"/>
      <c r="Y7" s="50"/>
      <c r="Z7" s="50"/>
    </row>
    <row r="8">
      <c r="A8" s="53" t="str">
        <f t="shared" si="1"/>
        <v>US-1-TC-06</v>
      </c>
      <c r="B8" s="53" t="s">
        <v>235</v>
      </c>
      <c r="C8" s="54" t="s">
        <v>226</v>
      </c>
      <c r="D8" s="55" t="s">
        <v>236</v>
      </c>
      <c r="E8" s="55" t="s">
        <v>228</v>
      </c>
      <c r="F8" s="55" t="s">
        <v>53</v>
      </c>
      <c r="G8" s="55"/>
      <c r="H8" s="50"/>
      <c r="I8" s="50"/>
      <c r="J8" s="50"/>
      <c r="K8" s="50"/>
      <c r="L8" s="50"/>
      <c r="M8" s="50"/>
      <c r="N8" s="50"/>
      <c r="O8" s="50"/>
      <c r="P8" s="50"/>
      <c r="Q8" s="50"/>
      <c r="R8" s="50"/>
      <c r="S8" s="50"/>
      <c r="T8" s="50"/>
      <c r="U8" s="50"/>
      <c r="V8" s="50"/>
      <c r="W8" s="50"/>
      <c r="X8" s="50"/>
      <c r="Y8" s="50"/>
      <c r="Z8" s="50"/>
    </row>
    <row r="9">
      <c r="A9" s="53" t="str">
        <f t="shared" si="1"/>
        <v>US-1-TC-07</v>
      </c>
      <c r="B9" s="53" t="s">
        <v>237</v>
      </c>
      <c r="C9" s="54" t="s">
        <v>226</v>
      </c>
      <c r="D9" s="55" t="s">
        <v>238</v>
      </c>
      <c r="E9" s="55" t="s">
        <v>239</v>
      </c>
      <c r="F9" s="55" t="s">
        <v>53</v>
      </c>
      <c r="G9" s="56"/>
      <c r="H9" s="50"/>
      <c r="I9" s="50"/>
      <c r="J9" s="50"/>
      <c r="K9" s="50"/>
      <c r="L9" s="50"/>
      <c r="M9" s="50"/>
      <c r="N9" s="50"/>
      <c r="O9" s="50"/>
      <c r="P9" s="50"/>
      <c r="Q9" s="50"/>
      <c r="R9" s="50"/>
      <c r="S9" s="50"/>
      <c r="T9" s="50"/>
      <c r="U9" s="50"/>
      <c r="V9" s="50"/>
      <c r="W9" s="50"/>
      <c r="X9" s="50"/>
      <c r="Y9" s="50"/>
      <c r="Z9" s="50"/>
    </row>
    <row r="10">
      <c r="A10" s="53" t="str">
        <f t="shared" si="1"/>
        <v>US-1-TC-08</v>
      </c>
      <c r="B10" s="53" t="s">
        <v>240</v>
      </c>
      <c r="C10" s="54" t="s">
        <v>226</v>
      </c>
      <c r="D10" s="55" t="s">
        <v>236</v>
      </c>
      <c r="E10" s="55" t="s">
        <v>241</v>
      </c>
      <c r="F10" s="55" t="s">
        <v>53</v>
      </c>
      <c r="G10" s="56"/>
      <c r="H10" s="50"/>
      <c r="I10" s="50"/>
      <c r="J10" s="50"/>
      <c r="K10" s="50"/>
      <c r="L10" s="50"/>
      <c r="M10" s="50"/>
      <c r="N10" s="50"/>
      <c r="O10" s="50"/>
      <c r="P10" s="50"/>
      <c r="Q10" s="50"/>
      <c r="R10" s="50"/>
      <c r="S10" s="50"/>
      <c r="T10" s="50"/>
      <c r="U10" s="50"/>
      <c r="V10" s="50"/>
      <c r="W10" s="50"/>
      <c r="X10" s="50"/>
      <c r="Y10" s="50"/>
      <c r="Z10" s="50"/>
    </row>
    <row r="11">
      <c r="A11" s="53" t="str">
        <f t="shared" si="1"/>
        <v>US-1-TC-09</v>
      </c>
      <c r="B11" s="53" t="s">
        <v>242</v>
      </c>
      <c r="C11" s="54" t="s">
        <v>226</v>
      </c>
      <c r="D11" s="55" t="s">
        <v>236</v>
      </c>
      <c r="E11" s="55" t="s">
        <v>228</v>
      </c>
      <c r="F11" s="55" t="s">
        <v>53</v>
      </c>
      <c r="G11" s="56"/>
      <c r="H11" s="50"/>
      <c r="I11" s="50"/>
      <c r="J11" s="50"/>
      <c r="K11" s="50"/>
      <c r="L11" s="50"/>
      <c r="M11" s="50"/>
      <c r="N11" s="50"/>
      <c r="O11" s="50"/>
      <c r="P11" s="50"/>
      <c r="Q11" s="50"/>
      <c r="R11" s="50"/>
      <c r="S11" s="50"/>
      <c r="T11" s="50"/>
      <c r="U11" s="50"/>
      <c r="V11" s="50"/>
      <c r="W11" s="50"/>
      <c r="X11" s="50"/>
      <c r="Y11" s="50"/>
      <c r="Z11" s="50"/>
    </row>
    <row r="12">
      <c r="A12" s="53" t="str">
        <f t="shared" si="1"/>
        <v>US-1-TC-10</v>
      </c>
      <c r="B12" s="57" t="s">
        <v>243</v>
      </c>
      <c r="C12" s="54" t="s">
        <v>226</v>
      </c>
      <c r="D12" s="55"/>
      <c r="E12" s="55"/>
      <c r="F12" s="55" t="s">
        <v>53</v>
      </c>
      <c r="G12" s="56"/>
      <c r="H12" s="50"/>
      <c r="I12" s="50"/>
      <c r="J12" s="50"/>
      <c r="K12" s="50"/>
      <c r="L12" s="50"/>
      <c r="M12" s="50"/>
      <c r="N12" s="50"/>
      <c r="O12" s="50"/>
      <c r="P12" s="50"/>
      <c r="Q12" s="50"/>
      <c r="R12" s="50"/>
      <c r="S12" s="50"/>
      <c r="T12" s="50"/>
      <c r="U12" s="50"/>
      <c r="V12" s="50"/>
      <c r="W12" s="50"/>
      <c r="X12" s="50"/>
      <c r="Y12" s="50"/>
      <c r="Z12" s="50"/>
    </row>
    <row r="13">
      <c r="A13" s="53" t="str">
        <f t="shared" si="1"/>
        <v>US-1-TC-11</v>
      </c>
      <c r="B13" s="58" t="s">
        <v>244</v>
      </c>
      <c r="C13" s="54" t="s">
        <v>226</v>
      </c>
      <c r="D13" s="59"/>
      <c r="E13" s="59"/>
      <c r="F13" s="55" t="s">
        <v>53</v>
      </c>
      <c r="G13" s="59"/>
      <c r="H13" s="50"/>
      <c r="I13" s="50"/>
      <c r="J13" s="50"/>
      <c r="K13" s="50"/>
      <c r="L13" s="50"/>
      <c r="M13" s="50"/>
      <c r="N13" s="50"/>
      <c r="O13" s="50"/>
      <c r="P13" s="50"/>
      <c r="Q13" s="50"/>
      <c r="R13" s="50"/>
      <c r="S13" s="50"/>
      <c r="T13" s="50"/>
      <c r="U13" s="50"/>
      <c r="V13" s="50"/>
      <c r="W13" s="50"/>
      <c r="X13" s="50"/>
      <c r="Y13" s="50"/>
      <c r="Z13" s="50"/>
    </row>
    <row r="14">
      <c r="A14" s="53" t="str">
        <f t="shared" si="1"/>
        <v>US-1-TC-12</v>
      </c>
      <c r="B14" s="60" t="s">
        <v>245</v>
      </c>
      <c r="C14" s="54" t="s">
        <v>226</v>
      </c>
      <c r="D14" s="59"/>
      <c r="E14" s="61" t="s">
        <v>246</v>
      </c>
      <c r="F14" s="55" t="s">
        <v>51</v>
      </c>
      <c r="G14" s="52" t="s">
        <v>77</v>
      </c>
      <c r="H14" s="50"/>
      <c r="I14" s="50"/>
      <c r="J14" s="50"/>
      <c r="K14" s="50"/>
      <c r="L14" s="50"/>
      <c r="M14" s="50"/>
      <c r="N14" s="50"/>
      <c r="O14" s="50"/>
      <c r="P14" s="50"/>
      <c r="Q14" s="50"/>
      <c r="R14" s="50"/>
      <c r="S14" s="50"/>
      <c r="T14" s="50"/>
      <c r="U14" s="50"/>
      <c r="V14" s="50"/>
      <c r="W14" s="50"/>
      <c r="X14" s="50"/>
      <c r="Y14" s="50"/>
      <c r="Z14" s="50"/>
    </row>
    <row r="15">
      <c r="A15" s="53" t="str">
        <f t="shared" si="1"/>
        <v>US-1-TC-13</v>
      </c>
      <c r="B15" s="60" t="s">
        <v>247</v>
      </c>
      <c r="C15" s="54" t="s">
        <v>226</v>
      </c>
      <c r="D15" s="59"/>
      <c r="E15" s="61" t="s">
        <v>248</v>
      </c>
      <c r="F15" s="55" t="s">
        <v>51</v>
      </c>
      <c r="G15" s="52" t="s">
        <v>79</v>
      </c>
      <c r="H15" s="50"/>
      <c r="I15" s="50"/>
      <c r="J15" s="50"/>
      <c r="K15" s="50"/>
      <c r="L15" s="50"/>
      <c r="M15" s="50"/>
      <c r="N15" s="50"/>
      <c r="O15" s="50"/>
      <c r="P15" s="50"/>
      <c r="Q15" s="50"/>
      <c r="R15" s="50"/>
      <c r="S15" s="50"/>
      <c r="T15" s="50"/>
      <c r="U15" s="50"/>
      <c r="V15" s="50"/>
      <c r="W15" s="50"/>
      <c r="X15" s="50"/>
      <c r="Y15" s="50"/>
      <c r="Z15" s="50"/>
    </row>
    <row r="16">
      <c r="A16" s="53" t="str">
        <f t="shared" si="1"/>
        <v>US-1-TC-14</v>
      </c>
      <c r="B16" s="60" t="s">
        <v>249</v>
      </c>
      <c r="C16" s="54" t="s">
        <v>226</v>
      </c>
      <c r="D16" s="59"/>
      <c r="E16" s="61" t="s">
        <v>250</v>
      </c>
      <c r="F16" s="55" t="s">
        <v>53</v>
      </c>
      <c r="G16" s="52" t="s">
        <v>82</v>
      </c>
      <c r="H16" s="50"/>
      <c r="I16" s="50"/>
      <c r="J16" s="50"/>
      <c r="K16" s="50"/>
      <c r="L16" s="50"/>
      <c r="M16" s="50"/>
      <c r="N16" s="50"/>
      <c r="O16" s="50"/>
      <c r="P16" s="50"/>
      <c r="Q16" s="50"/>
      <c r="R16" s="50"/>
      <c r="S16" s="50"/>
      <c r="T16" s="50"/>
      <c r="U16" s="50"/>
      <c r="V16" s="50"/>
      <c r="W16" s="50"/>
      <c r="X16" s="50"/>
      <c r="Y16" s="50"/>
      <c r="Z16" s="50"/>
    </row>
    <row r="17">
      <c r="A17" s="53" t="str">
        <f t="shared" si="1"/>
        <v>US-1-TC-15</v>
      </c>
      <c r="B17" s="60" t="s">
        <v>251</v>
      </c>
      <c r="C17" s="54" t="s">
        <v>226</v>
      </c>
      <c r="D17" s="59"/>
      <c r="E17" s="61" t="s">
        <v>252</v>
      </c>
      <c r="F17" s="55" t="s">
        <v>51</v>
      </c>
      <c r="G17" s="52" t="s">
        <v>84</v>
      </c>
      <c r="H17" s="50"/>
      <c r="I17" s="50"/>
      <c r="J17" s="50"/>
      <c r="K17" s="50"/>
      <c r="L17" s="50"/>
      <c r="M17" s="50"/>
      <c r="N17" s="50"/>
      <c r="O17" s="50"/>
      <c r="P17" s="50"/>
      <c r="Q17" s="50"/>
      <c r="R17" s="50"/>
      <c r="S17" s="50"/>
      <c r="T17" s="50"/>
      <c r="U17" s="50"/>
      <c r="V17" s="50"/>
      <c r="W17" s="50"/>
      <c r="X17" s="50"/>
      <c r="Y17" s="50"/>
      <c r="Z17" s="50"/>
    </row>
    <row r="18">
      <c r="A18" s="53"/>
      <c r="B18" s="53"/>
      <c r="C18" s="54"/>
      <c r="D18" s="62"/>
      <c r="E18" s="55"/>
      <c r="F18" s="63"/>
      <c r="G18" s="56"/>
      <c r="H18" s="50"/>
      <c r="I18" s="50"/>
      <c r="J18" s="50"/>
      <c r="K18" s="50"/>
      <c r="L18" s="50"/>
      <c r="M18" s="50"/>
      <c r="N18" s="50"/>
      <c r="O18" s="50"/>
      <c r="P18" s="50"/>
      <c r="Q18" s="50"/>
      <c r="R18" s="50"/>
      <c r="S18" s="50"/>
      <c r="T18" s="50"/>
      <c r="U18" s="50"/>
      <c r="V18" s="50"/>
      <c r="W18" s="50"/>
      <c r="X18" s="50"/>
      <c r="Y18" s="50"/>
      <c r="Z18" s="50"/>
    </row>
    <row r="19">
      <c r="A19" s="53"/>
      <c r="B19" s="53"/>
      <c r="C19" s="54"/>
      <c r="D19" s="62"/>
      <c r="E19" s="55"/>
      <c r="F19" s="63"/>
      <c r="G19" s="56"/>
      <c r="H19" s="50"/>
      <c r="I19" s="50"/>
      <c r="J19" s="50"/>
      <c r="K19" s="50"/>
      <c r="L19" s="50"/>
      <c r="M19" s="50"/>
      <c r="N19" s="50"/>
      <c r="O19" s="50"/>
      <c r="P19" s="50"/>
      <c r="Q19" s="50"/>
      <c r="R19" s="50"/>
      <c r="S19" s="50"/>
      <c r="T19" s="50"/>
      <c r="U19" s="50"/>
      <c r="V19" s="50"/>
      <c r="W19" s="50"/>
      <c r="X19" s="50"/>
      <c r="Y19" s="50"/>
      <c r="Z19" s="50"/>
    </row>
    <row r="20">
      <c r="A20" s="53"/>
      <c r="B20" s="53"/>
      <c r="C20" s="54"/>
      <c r="D20" s="62"/>
      <c r="E20" s="55"/>
      <c r="F20" s="63"/>
      <c r="G20" s="56"/>
      <c r="H20" s="50"/>
      <c r="I20" s="50"/>
      <c r="J20" s="50"/>
      <c r="K20" s="50"/>
      <c r="L20" s="50"/>
      <c r="M20" s="50"/>
      <c r="N20" s="50"/>
      <c r="O20" s="50"/>
      <c r="P20" s="50"/>
      <c r="Q20" s="50"/>
      <c r="R20" s="50"/>
      <c r="S20" s="50"/>
      <c r="T20" s="50"/>
      <c r="U20" s="50"/>
      <c r="V20" s="50"/>
      <c r="W20" s="50"/>
      <c r="X20" s="50"/>
      <c r="Y20" s="50"/>
      <c r="Z20" s="50"/>
    </row>
    <row r="21">
      <c r="A21" s="53"/>
      <c r="B21" s="53"/>
      <c r="C21" s="54"/>
      <c r="D21" s="62"/>
      <c r="E21" s="55"/>
      <c r="F21" s="63"/>
      <c r="G21" s="56"/>
      <c r="H21" s="50"/>
      <c r="I21" s="50"/>
      <c r="J21" s="50"/>
      <c r="K21" s="50"/>
      <c r="L21" s="50"/>
      <c r="M21" s="50"/>
      <c r="N21" s="50"/>
      <c r="O21" s="50"/>
      <c r="P21" s="50"/>
      <c r="Q21" s="50"/>
      <c r="R21" s="50"/>
      <c r="S21" s="50"/>
      <c r="T21" s="50"/>
      <c r="U21" s="50"/>
      <c r="V21" s="50"/>
      <c r="W21" s="50"/>
      <c r="X21" s="50"/>
      <c r="Y21" s="50"/>
      <c r="Z21" s="50"/>
    </row>
    <row r="22">
      <c r="A22" s="53"/>
      <c r="B22" s="53"/>
      <c r="C22" s="54"/>
      <c r="D22" s="62"/>
      <c r="E22" s="55"/>
      <c r="F22" s="63"/>
      <c r="G22" s="56"/>
      <c r="H22" s="50"/>
      <c r="I22" s="50"/>
      <c r="J22" s="50"/>
      <c r="K22" s="50"/>
      <c r="L22" s="50"/>
      <c r="M22" s="50"/>
      <c r="N22" s="50"/>
      <c r="O22" s="50"/>
      <c r="P22" s="50"/>
      <c r="Q22" s="50"/>
      <c r="R22" s="50"/>
      <c r="S22" s="50"/>
      <c r="T22" s="50"/>
      <c r="U22" s="50"/>
      <c r="V22" s="50"/>
      <c r="W22" s="50"/>
      <c r="X22" s="50"/>
      <c r="Y22" s="50"/>
      <c r="Z22" s="50"/>
    </row>
    <row r="23">
      <c r="A23" s="53"/>
      <c r="B23" s="53"/>
      <c r="C23" s="54"/>
      <c r="D23" s="62"/>
      <c r="E23" s="55"/>
      <c r="F23" s="63"/>
      <c r="G23" s="56"/>
      <c r="H23" s="50"/>
      <c r="I23" s="50"/>
      <c r="J23" s="50"/>
      <c r="K23" s="50"/>
      <c r="L23" s="50"/>
      <c r="M23" s="50"/>
      <c r="N23" s="50"/>
      <c r="O23" s="50"/>
      <c r="P23" s="50"/>
      <c r="Q23" s="50"/>
      <c r="R23" s="50"/>
      <c r="S23" s="50"/>
      <c r="T23" s="50"/>
      <c r="U23" s="50"/>
      <c r="V23" s="50"/>
      <c r="W23" s="50"/>
      <c r="X23" s="50"/>
      <c r="Y23" s="50"/>
      <c r="Z23" s="50"/>
    </row>
    <row r="24">
      <c r="A24" s="53"/>
      <c r="B24" s="53"/>
      <c r="C24" s="54"/>
      <c r="D24" s="62"/>
      <c r="E24" s="55"/>
      <c r="F24" s="63"/>
      <c r="G24" s="56"/>
      <c r="H24" s="50"/>
      <c r="I24" s="50"/>
      <c r="J24" s="50"/>
      <c r="K24" s="50"/>
      <c r="L24" s="50"/>
      <c r="M24" s="50"/>
      <c r="N24" s="50"/>
      <c r="O24" s="50"/>
      <c r="P24" s="50"/>
      <c r="Q24" s="50"/>
      <c r="R24" s="50"/>
      <c r="S24" s="50"/>
      <c r="T24" s="50"/>
      <c r="U24" s="50"/>
      <c r="V24" s="50"/>
      <c r="W24" s="50"/>
      <c r="X24" s="50"/>
      <c r="Y24" s="50"/>
      <c r="Z24" s="50"/>
    </row>
    <row r="25">
      <c r="A25" s="53"/>
      <c r="B25" s="53"/>
      <c r="C25" s="54"/>
      <c r="D25" s="62"/>
      <c r="E25" s="55"/>
      <c r="F25" s="63"/>
      <c r="G25" s="56"/>
      <c r="H25" s="50"/>
      <c r="I25" s="50"/>
      <c r="J25" s="50"/>
      <c r="K25" s="50"/>
      <c r="L25" s="50"/>
      <c r="M25" s="50"/>
      <c r="N25" s="50"/>
      <c r="O25" s="50"/>
      <c r="P25" s="50"/>
      <c r="Q25" s="50"/>
      <c r="R25" s="50"/>
      <c r="S25" s="50"/>
      <c r="T25" s="50"/>
      <c r="U25" s="50"/>
      <c r="V25" s="50"/>
      <c r="W25" s="50"/>
      <c r="X25" s="50"/>
      <c r="Y25" s="50"/>
      <c r="Z25" s="50"/>
    </row>
    <row r="26">
      <c r="A26" s="53"/>
      <c r="B26" s="64"/>
      <c r="C26" s="54"/>
      <c r="D26" s="62"/>
      <c r="E26" s="55"/>
      <c r="F26" s="63"/>
      <c r="G26" s="56"/>
      <c r="H26" s="50"/>
      <c r="I26" s="50"/>
      <c r="J26" s="50"/>
      <c r="K26" s="50"/>
      <c r="L26" s="50"/>
      <c r="M26" s="50"/>
      <c r="N26" s="50"/>
      <c r="O26" s="50"/>
      <c r="P26" s="50"/>
      <c r="Q26" s="50"/>
      <c r="R26" s="50"/>
      <c r="S26" s="50"/>
      <c r="T26" s="50"/>
      <c r="U26" s="50"/>
      <c r="V26" s="50"/>
      <c r="W26" s="50"/>
      <c r="X26" s="50"/>
      <c r="Y26" s="50"/>
      <c r="Z26" s="50"/>
    </row>
    <row r="27">
      <c r="A27" s="53"/>
      <c r="B27" s="53"/>
      <c r="C27" s="54"/>
      <c r="D27" s="62"/>
      <c r="E27" s="55"/>
      <c r="F27" s="63"/>
      <c r="G27" s="56"/>
      <c r="H27" s="50"/>
      <c r="I27" s="50"/>
      <c r="J27" s="50"/>
      <c r="K27" s="50"/>
      <c r="L27" s="50"/>
      <c r="M27" s="50"/>
      <c r="N27" s="50"/>
      <c r="O27" s="50"/>
      <c r="P27" s="50"/>
      <c r="Q27" s="50"/>
      <c r="R27" s="50"/>
      <c r="S27" s="50"/>
      <c r="T27" s="50"/>
      <c r="U27" s="50"/>
      <c r="V27" s="50"/>
      <c r="W27" s="50"/>
      <c r="X27" s="50"/>
      <c r="Y27" s="50"/>
      <c r="Z27" s="50"/>
    </row>
    <row r="28">
      <c r="A28" s="53"/>
      <c r="B28" s="53"/>
      <c r="C28" s="54"/>
      <c r="D28" s="62"/>
      <c r="E28" s="55"/>
      <c r="F28" s="63"/>
      <c r="G28" s="56"/>
      <c r="H28" s="50"/>
      <c r="I28" s="50"/>
      <c r="J28" s="50"/>
      <c r="K28" s="50"/>
      <c r="L28" s="50"/>
      <c r="M28" s="50"/>
      <c r="N28" s="50"/>
      <c r="O28" s="50"/>
      <c r="P28" s="50"/>
      <c r="Q28" s="50"/>
      <c r="R28" s="50"/>
      <c r="S28" s="50"/>
      <c r="T28" s="50"/>
      <c r="U28" s="50"/>
      <c r="V28" s="50"/>
      <c r="W28" s="50"/>
      <c r="X28" s="50"/>
      <c r="Y28" s="50"/>
      <c r="Z28" s="50"/>
    </row>
    <row r="29">
      <c r="A29" s="53"/>
      <c r="B29" s="53"/>
      <c r="C29" s="54"/>
      <c r="D29" s="62"/>
      <c r="E29" s="55"/>
      <c r="F29" s="63"/>
      <c r="G29" s="56"/>
      <c r="H29" s="50"/>
      <c r="I29" s="50"/>
      <c r="J29" s="50"/>
      <c r="K29" s="50"/>
      <c r="L29" s="50"/>
      <c r="M29" s="50"/>
      <c r="N29" s="50"/>
      <c r="O29" s="50"/>
      <c r="P29" s="50"/>
      <c r="Q29" s="50"/>
      <c r="R29" s="50"/>
      <c r="S29" s="50"/>
      <c r="T29" s="50"/>
      <c r="U29" s="50"/>
      <c r="V29" s="50"/>
      <c r="W29" s="50"/>
      <c r="X29" s="50"/>
      <c r="Y29" s="50"/>
      <c r="Z29" s="50"/>
    </row>
    <row r="30">
      <c r="A30" s="53"/>
      <c r="B30" s="53"/>
      <c r="C30" s="54"/>
      <c r="D30" s="62"/>
      <c r="E30" s="55"/>
      <c r="F30" s="63"/>
      <c r="G30" s="56"/>
      <c r="H30" s="50"/>
      <c r="I30" s="50"/>
      <c r="J30" s="50"/>
      <c r="K30" s="50"/>
      <c r="L30" s="50"/>
      <c r="M30" s="50"/>
      <c r="N30" s="50"/>
      <c r="O30" s="50"/>
      <c r="P30" s="50"/>
      <c r="Q30" s="50"/>
      <c r="R30" s="50"/>
      <c r="S30" s="50"/>
      <c r="T30" s="50"/>
      <c r="U30" s="50"/>
      <c r="V30" s="50"/>
      <c r="W30" s="50"/>
      <c r="X30" s="50"/>
      <c r="Y30" s="50"/>
      <c r="Z30" s="50"/>
    </row>
    <row r="31">
      <c r="A31" s="53"/>
      <c r="B31" s="53"/>
      <c r="C31" s="54"/>
      <c r="D31" s="62"/>
      <c r="E31" s="55"/>
      <c r="F31" s="63"/>
      <c r="G31" s="56"/>
      <c r="H31" s="50"/>
      <c r="I31" s="50"/>
      <c r="J31" s="50"/>
      <c r="K31" s="50"/>
      <c r="L31" s="50"/>
      <c r="M31" s="50"/>
      <c r="N31" s="50"/>
      <c r="O31" s="50"/>
      <c r="P31" s="50"/>
      <c r="Q31" s="50"/>
      <c r="R31" s="50"/>
      <c r="S31" s="50"/>
      <c r="T31" s="50"/>
      <c r="U31" s="50"/>
      <c r="V31" s="50"/>
      <c r="W31" s="50"/>
      <c r="X31" s="50"/>
      <c r="Y31" s="50"/>
      <c r="Z31" s="50"/>
    </row>
    <row r="32">
      <c r="A32" s="53"/>
      <c r="B32" s="53"/>
      <c r="C32" s="54"/>
      <c r="D32" s="62"/>
      <c r="E32" s="55"/>
      <c r="F32" s="63"/>
      <c r="G32" s="56"/>
      <c r="H32" s="50"/>
      <c r="I32" s="50"/>
      <c r="J32" s="50"/>
      <c r="K32" s="50"/>
      <c r="L32" s="50"/>
      <c r="M32" s="50"/>
      <c r="N32" s="50"/>
      <c r="O32" s="50"/>
      <c r="P32" s="50"/>
      <c r="Q32" s="50"/>
      <c r="R32" s="50"/>
      <c r="S32" s="50"/>
      <c r="T32" s="50"/>
      <c r="U32" s="50"/>
      <c r="V32" s="50"/>
      <c r="W32" s="50"/>
      <c r="X32" s="50"/>
      <c r="Y32" s="50"/>
      <c r="Z32" s="50"/>
    </row>
    <row r="33" ht="231.75" customHeight="1">
      <c r="A33" s="53"/>
      <c r="B33" s="53"/>
      <c r="C33" s="54"/>
      <c r="D33" s="62"/>
      <c r="E33" s="55"/>
      <c r="F33" s="63"/>
      <c r="G33" s="56"/>
      <c r="H33" s="50"/>
      <c r="I33" s="50"/>
      <c r="J33" s="50"/>
      <c r="K33" s="50"/>
      <c r="L33" s="50"/>
      <c r="M33" s="50"/>
      <c r="N33" s="50"/>
      <c r="O33" s="50"/>
      <c r="P33" s="50"/>
      <c r="Q33" s="50"/>
      <c r="R33" s="50"/>
      <c r="S33" s="50"/>
      <c r="T33" s="50"/>
      <c r="U33" s="50"/>
      <c r="V33" s="50"/>
      <c r="W33" s="50"/>
      <c r="X33" s="50"/>
      <c r="Y33" s="50"/>
      <c r="Z33" s="50"/>
    </row>
    <row r="34">
      <c r="A34" s="53"/>
      <c r="B34" s="53"/>
      <c r="C34" s="54"/>
      <c r="D34" s="62"/>
      <c r="E34" s="55"/>
      <c r="F34" s="63"/>
      <c r="G34" s="56"/>
      <c r="H34" s="50"/>
      <c r="I34" s="50"/>
      <c r="J34" s="50"/>
      <c r="K34" s="50"/>
      <c r="L34" s="50"/>
      <c r="M34" s="50"/>
      <c r="N34" s="50"/>
      <c r="O34" s="50"/>
      <c r="P34" s="50"/>
      <c r="Q34" s="50"/>
      <c r="R34" s="50"/>
      <c r="S34" s="50"/>
      <c r="T34" s="50"/>
      <c r="U34" s="50"/>
      <c r="V34" s="50"/>
      <c r="W34" s="50"/>
      <c r="X34" s="50"/>
      <c r="Y34" s="50"/>
      <c r="Z34" s="50"/>
    </row>
    <row r="35">
      <c r="A35" s="53"/>
      <c r="B35" s="53"/>
      <c r="C35" s="54"/>
      <c r="D35" s="62"/>
      <c r="E35" s="55"/>
      <c r="F35" s="63"/>
      <c r="G35" s="56"/>
      <c r="H35" s="50"/>
      <c r="I35" s="50"/>
      <c r="J35" s="50"/>
      <c r="K35" s="50"/>
      <c r="L35" s="50"/>
      <c r="M35" s="50"/>
      <c r="N35" s="50"/>
      <c r="O35" s="50"/>
      <c r="P35" s="50"/>
      <c r="Q35" s="50"/>
      <c r="R35" s="50"/>
      <c r="S35" s="50"/>
      <c r="T35" s="50"/>
      <c r="U35" s="50"/>
      <c r="V35" s="50"/>
      <c r="W35" s="50"/>
      <c r="X35" s="50"/>
      <c r="Y35" s="50"/>
      <c r="Z35" s="50"/>
    </row>
    <row r="36">
      <c r="A36" s="53"/>
      <c r="B36" s="53"/>
      <c r="C36" s="54"/>
      <c r="D36" s="62"/>
      <c r="E36" s="55"/>
      <c r="F36" s="63"/>
      <c r="G36" s="56"/>
      <c r="H36" s="50"/>
      <c r="I36" s="50"/>
      <c r="J36" s="50"/>
      <c r="K36" s="50"/>
      <c r="L36" s="50"/>
      <c r="M36" s="50"/>
      <c r="N36" s="50"/>
      <c r="O36" s="50"/>
      <c r="P36" s="50"/>
      <c r="Q36" s="50"/>
      <c r="R36" s="50"/>
      <c r="S36" s="50"/>
      <c r="T36" s="50"/>
      <c r="U36" s="50"/>
      <c r="V36" s="50"/>
      <c r="W36" s="50"/>
      <c r="X36" s="50"/>
      <c r="Y36" s="50"/>
      <c r="Z36" s="50"/>
    </row>
    <row r="37">
      <c r="A37" s="53"/>
      <c r="B37" s="53"/>
      <c r="C37" s="54"/>
      <c r="D37" s="62"/>
      <c r="E37" s="55"/>
      <c r="F37" s="63"/>
      <c r="G37" s="56"/>
      <c r="H37" s="50"/>
      <c r="I37" s="50"/>
      <c r="J37" s="50"/>
      <c r="K37" s="50"/>
      <c r="L37" s="50"/>
      <c r="M37" s="50"/>
      <c r="N37" s="50"/>
      <c r="O37" s="50"/>
      <c r="P37" s="50"/>
      <c r="Q37" s="50"/>
      <c r="R37" s="50"/>
      <c r="S37" s="50"/>
      <c r="T37" s="50"/>
      <c r="U37" s="50"/>
      <c r="V37" s="50"/>
      <c r="W37" s="50"/>
      <c r="X37" s="50"/>
      <c r="Y37" s="50"/>
      <c r="Z37" s="50"/>
    </row>
  </sheetData>
  <dataValidations>
    <dataValidation type="list" allowBlank="1" sqref="F3:F17">
      <formula1>"OPEN,BLOCKED,PASSED,FAILED"</formula1>
    </dataValidation>
  </dataValidations>
  <hyperlinks>
    <hyperlink r:id="rId1" ref="B1"/>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1" max="1" width="12.38"/>
    <col customWidth="1" min="2" max="2" width="61.13"/>
    <col customWidth="1" min="3" max="3" width="50.13"/>
    <col customWidth="1" min="4" max="4" width="48.38"/>
    <col customWidth="1" min="5" max="5" width="56.63"/>
    <col customWidth="1" min="6" max="6" width="21.63"/>
    <col customWidth="1" min="7" max="7" width="22.75"/>
  </cols>
  <sheetData>
    <row r="1">
      <c r="A1" s="47" t="s">
        <v>31</v>
      </c>
      <c r="B1" s="48" t="s">
        <v>253</v>
      </c>
      <c r="C1" s="49"/>
      <c r="D1" s="49"/>
      <c r="E1" s="49"/>
      <c r="F1" s="49"/>
      <c r="G1" s="49"/>
      <c r="H1" s="50"/>
      <c r="I1" s="50"/>
      <c r="J1" s="50"/>
      <c r="K1" s="50"/>
      <c r="L1" s="50"/>
      <c r="M1" s="50"/>
      <c r="N1" s="50"/>
      <c r="O1" s="50"/>
      <c r="P1" s="50"/>
      <c r="Q1" s="50"/>
      <c r="R1" s="50"/>
      <c r="S1" s="50"/>
      <c r="T1" s="50"/>
      <c r="U1" s="50"/>
      <c r="V1" s="50"/>
      <c r="W1" s="50"/>
      <c r="X1" s="50"/>
      <c r="Y1" s="50"/>
      <c r="Z1" s="50"/>
    </row>
    <row r="2">
      <c r="A2" s="51" t="s">
        <v>14</v>
      </c>
      <c r="B2" s="51" t="s">
        <v>16</v>
      </c>
      <c r="C2" s="52" t="s">
        <v>18</v>
      </c>
      <c r="D2" s="52" t="s">
        <v>20</v>
      </c>
      <c r="E2" s="52" t="s">
        <v>219</v>
      </c>
      <c r="F2" s="52" t="s">
        <v>24</v>
      </c>
      <c r="G2" s="52" t="s">
        <v>26</v>
      </c>
      <c r="H2" s="50"/>
      <c r="I2" s="50"/>
      <c r="J2" s="50"/>
      <c r="K2" s="50"/>
      <c r="L2" s="50"/>
      <c r="M2" s="50"/>
      <c r="N2" s="50"/>
      <c r="O2" s="50"/>
      <c r="P2" s="50"/>
      <c r="Q2" s="50"/>
      <c r="R2" s="50"/>
      <c r="S2" s="50"/>
      <c r="T2" s="50"/>
      <c r="U2" s="50"/>
      <c r="V2" s="50"/>
      <c r="W2" s="50"/>
      <c r="X2" s="50"/>
      <c r="Y2" s="50"/>
      <c r="Z2" s="50"/>
    </row>
    <row r="3">
      <c r="A3" s="53" t="str">
        <f t="shared" ref="A3:A17" si="1">IF(B3&lt;&gt;"", "US-2-TC-" &amp; TEXT(COUNTA($B$3:B3), "00"), "")
</f>
        <v>US-2-TC-01</v>
      </c>
      <c r="B3" s="53" t="s">
        <v>254</v>
      </c>
      <c r="C3" s="54" t="s">
        <v>222</v>
      </c>
      <c r="D3" s="54" t="s">
        <v>255</v>
      </c>
      <c r="E3" s="55" t="s">
        <v>256</v>
      </c>
      <c r="F3" s="55" t="s">
        <v>53</v>
      </c>
      <c r="G3" s="55"/>
      <c r="H3" s="50"/>
      <c r="I3" s="50"/>
      <c r="J3" s="50"/>
      <c r="K3" s="50"/>
      <c r="L3" s="50"/>
      <c r="M3" s="50"/>
      <c r="N3" s="50"/>
      <c r="O3" s="50"/>
      <c r="P3" s="50"/>
      <c r="Q3" s="50"/>
      <c r="R3" s="50"/>
      <c r="S3" s="50"/>
      <c r="T3" s="50"/>
      <c r="U3" s="50"/>
      <c r="V3" s="50"/>
      <c r="W3" s="50"/>
      <c r="X3" s="50"/>
      <c r="Y3" s="50"/>
      <c r="Z3" s="50"/>
    </row>
    <row r="4">
      <c r="A4" s="53" t="str">
        <f t="shared" si="1"/>
        <v>US-2-TC-02</v>
      </c>
      <c r="B4" s="53" t="s">
        <v>257</v>
      </c>
      <c r="C4" s="54" t="s">
        <v>222</v>
      </c>
      <c r="D4" s="54" t="s">
        <v>258</v>
      </c>
      <c r="E4" s="55" t="s">
        <v>259</v>
      </c>
      <c r="F4" s="55" t="s">
        <v>53</v>
      </c>
      <c r="G4" s="55"/>
      <c r="H4" s="50"/>
      <c r="I4" s="50"/>
      <c r="J4" s="50"/>
      <c r="K4" s="50"/>
      <c r="L4" s="50"/>
      <c r="M4" s="50"/>
      <c r="N4" s="50"/>
      <c r="O4" s="50"/>
      <c r="P4" s="50"/>
      <c r="Q4" s="50"/>
      <c r="R4" s="50"/>
      <c r="S4" s="50"/>
      <c r="T4" s="50"/>
      <c r="U4" s="50"/>
      <c r="V4" s="50"/>
      <c r="W4" s="50"/>
      <c r="X4" s="50"/>
      <c r="Y4" s="50"/>
      <c r="Z4" s="50"/>
    </row>
    <row r="5">
      <c r="A5" s="53" t="str">
        <f t="shared" si="1"/>
        <v>US-2-TC-03</v>
      </c>
      <c r="B5" s="53" t="s">
        <v>260</v>
      </c>
      <c r="C5" s="54" t="s">
        <v>222</v>
      </c>
      <c r="D5" s="54" t="s">
        <v>261</v>
      </c>
      <c r="E5" s="55" t="s">
        <v>262</v>
      </c>
      <c r="F5" s="55" t="s">
        <v>53</v>
      </c>
      <c r="G5" s="55"/>
      <c r="H5" s="50"/>
      <c r="I5" s="50"/>
      <c r="J5" s="50"/>
      <c r="K5" s="50"/>
      <c r="L5" s="50"/>
      <c r="M5" s="50"/>
      <c r="N5" s="50"/>
      <c r="O5" s="50"/>
      <c r="P5" s="50"/>
      <c r="Q5" s="50"/>
      <c r="R5" s="50"/>
      <c r="S5" s="50"/>
      <c r="T5" s="50"/>
      <c r="U5" s="50"/>
      <c r="V5" s="50"/>
      <c r="W5" s="50"/>
      <c r="X5" s="50"/>
      <c r="Y5" s="50"/>
      <c r="Z5" s="50"/>
    </row>
    <row r="6">
      <c r="A6" s="53" t="str">
        <f t="shared" si="1"/>
        <v>US-2-TC-04</v>
      </c>
      <c r="B6" s="53" t="s">
        <v>263</v>
      </c>
      <c r="C6" s="54" t="s">
        <v>222</v>
      </c>
      <c r="D6" s="54" t="s">
        <v>264</v>
      </c>
      <c r="E6" s="55" t="s">
        <v>262</v>
      </c>
      <c r="F6" s="55" t="s">
        <v>53</v>
      </c>
      <c r="G6" s="55"/>
      <c r="H6" s="50"/>
      <c r="I6" s="50"/>
      <c r="J6" s="50"/>
      <c r="K6" s="50"/>
      <c r="L6" s="50"/>
      <c r="M6" s="50"/>
      <c r="N6" s="50"/>
      <c r="O6" s="50"/>
      <c r="P6" s="50"/>
      <c r="Q6" s="50"/>
      <c r="R6" s="50"/>
      <c r="S6" s="50"/>
      <c r="T6" s="50"/>
      <c r="U6" s="50"/>
      <c r="V6" s="50"/>
      <c r="W6" s="50"/>
      <c r="X6" s="50"/>
      <c r="Y6" s="50"/>
      <c r="Z6" s="50"/>
    </row>
    <row r="7">
      <c r="A7" s="53" t="str">
        <f t="shared" si="1"/>
        <v>US-2-TC-05</v>
      </c>
      <c r="B7" s="53" t="s">
        <v>265</v>
      </c>
      <c r="C7" s="54" t="s">
        <v>222</v>
      </c>
      <c r="D7" s="54" t="s">
        <v>266</v>
      </c>
      <c r="E7" s="55" t="s">
        <v>267</v>
      </c>
      <c r="F7" s="55" t="s">
        <v>53</v>
      </c>
      <c r="G7" s="56"/>
      <c r="H7" s="50"/>
      <c r="I7" s="50"/>
      <c r="J7" s="50"/>
      <c r="K7" s="50"/>
      <c r="L7" s="50"/>
      <c r="M7" s="50"/>
      <c r="N7" s="50"/>
      <c r="O7" s="50"/>
      <c r="P7" s="50"/>
      <c r="Q7" s="50"/>
      <c r="R7" s="50"/>
      <c r="S7" s="50"/>
      <c r="T7" s="50"/>
      <c r="U7" s="50"/>
      <c r="V7" s="50"/>
      <c r="W7" s="50"/>
      <c r="X7" s="50"/>
      <c r="Y7" s="50"/>
      <c r="Z7" s="50"/>
    </row>
    <row r="8">
      <c r="A8" s="53" t="str">
        <f t="shared" si="1"/>
        <v>US-2-TC-06</v>
      </c>
      <c r="B8" s="53" t="s">
        <v>268</v>
      </c>
      <c r="C8" s="54" t="s">
        <v>222</v>
      </c>
      <c r="D8" s="54" t="s">
        <v>269</v>
      </c>
      <c r="E8" s="55" t="s">
        <v>270</v>
      </c>
      <c r="F8" s="55" t="s">
        <v>51</v>
      </c>
      <c r="G8" s="55" t="s">
        <v>66</v>
      </c>
      <c r="H8" s="50"/>
      <c r="I8" s="50"/>
      <c r="J8" s="50"/>
      <c r="K8" s="50"/>
      <c r="L8" s="50"/>
      <c r="M8" s="50"/>
      <c r="N8" s="50"/>
      <c r="O8" s="50"/>
      <c r="P8" s="50"/>
      <c r="Q8" s="50"/>
      <c r="R8" s="50"/>
      <c r="S8" s="50"/>
      <c r="T8" s="50"/>
      <c r="U8" s="50"/>
      <c r="V8" s="50"/>
      <c r="W8" s="50"/>
      <c r="X8" s="50"/>
      <c r="Y8" s="50"/>
      <c r="Z8" s="50"/>
    </row>
    <row r="9">
      <c r="A9" s="53" t="str">
        <f t="shared" si="1"/>
        <v>US-2-TC-07</v>
      </c>
      <c r="B9" s="53" t="s">
        <v>271</v>
      </c>
      <c r="C9" s="54" t="s">
        <v>222</v>
      </c>
      <c r="D9" s="54" t="s">
        <v>272</v>
      </c>
      <c r="E9" s="55" t="s">
        <v>273</v>
      </c>
      <c r="F9" s="55" t="s">
        <v>53</v>
      </c>
      <c r="G9" s="55"/>
      <c r="H9" s="50"/>
      <c r="I9" s="50"/>
      <c r="J9" s="50"/>
      <c r="K9" s="50"/>
      <c r="L9" s="50"/>
      <c r="M9" s="50"/>
      <c r="N9" s="50"/>
      <c r="O9" s="50"/>
      <c r="P9" s="50"/>
      <c r="Q9" s="50"/>
      <c r="R9" s="50"/>
      <c r="S9" s="50"/>
      <c r="T9" s="50"/>
      <c r="U9" s="50"/>
      <c r="V9" s="50"/>
      <c r="W9" s="50"/>
      <c r="X9" s="50"/>
      <c r="Y9" s="50"/>
      <c r="Z9" s="50"/>
    </row>
    <row r="10">
      <c r="A10" s="53" t="str">
        <f t="shared" si="1"/>
        <v>US-2-TC-08</v>
      </c>
      <c r="B10" s="53" t="s">
        <v>274</v>
      </c>
      <c r="C10" s="54" t="s">
        <v>222</v>
      </c>
      <c r="D10" s="54" t="s">
        <v>275</v>
      </c>
      <c r="E10" s="55" t="s">
        <v>276</v>
      </c>
      <c r="F10" s="55" t="s">
        <v>53</v>
      </c>
      <c r="G10" s="55"/>
      <c r="H10" s="50"/>
      <c r="I10" s="50"/>
      <c r="J10" s="50"/>
      <c r="K10" s="50"/>
      <c r="L10" s="50"/>
      <c r="M10" s="50"/>
      <c r="N10" s="50"/>
      <c r="O10" s="50"/>
      <c r="P10" s="50"/>
      <c r="Q10" s="50"/>
      <c r="R10" s="50"/>
      <c r="S10" s="50"/>
      <c r="T10" s="50"/>
      <c r="U10" s="50"/>
      <c r="V10" s="50"/>
      <c r="W10" s="50"/>
      <c r="X10" s="50"/>
      <c r="Y10" s="50"/>
      <c r="Z10" s="50"/>
    </row>
    <row r="11">
      <c r="A11" s="53" t="str">
        <f t="shared" si="1"/>
        <v>US-2-TC-09</v>
      </c>
      <c r="B11" s="65" t="s">
        <v>277</v>
      </c>
      <c r="C11" s="54" t="s">
        <v>222</v>
      </c>
      <c r="D11" s="54" t="s">
        <v>275</v>
      </c>
      <c r="E11" s="55"/>
      <c r="F11" s="55" t="s">
        <v>53</v>
      </c>
      <c r="G11" s="55"/>
      <c r="H11" s="50"/>
      <c r="I11" s="50"/>
      <c r="J11" s="50"/>
      <c r="K11" s="50"/>
      <c r="L11" s="50"/>
      <c r="M11" s="50"/>
      <c r="N11" s="50"/>
      <c r="O11" s="50"/>
      <c r="P11" s="50"/>
      <c r="Q11" s="50"/>
      <c r="R11" s="50"/>
      <c r="S11" s="50"/>
      <c r="T11" s="50"/>
      <c r="U11" s="50"/>
      <c r="V11" s="50"/>
      <c r="W11" s="50"/>
      <c r="X11" s="50"/>
      <c r="Y11" s="50"/>
      <c r="Z11" s="50"/>
    </row>
    <row r="12">
      <c r="A12" s="53" t="str">
        <f t="shared" si="1"/>
        <v>US-2-TC-10</v>
      </c>
      <c r="B12" s="65" t="s">
        <v>278</v>
      </c>
      <c r="C12" s="54" t="s">
        <v>222</v>
      </c>
      <c r="D12" s="54" t="s">
        <v>275</v>
      </c>
      <c r="E12" s="55"/>
      <c r="F12" s="55" t="s">
        <v>52</v>
      </c>
      <c r="G12" s="55"/>
      <c r="H12" s="50"/>
      <c r="I12" s="50"/>
      <c r="J12" s="50"/>
      <c r="K12" s="50"/>
      <c r="L12" s="50"/>
      <c r="M12" s="50"/>
      <c r="N12" s="50"/>
      <c r="O12" s="50"/>
      <c r="P12" s="50"/>
      <c r="Q12" s="50"/>
      <c r="R12" s="50"/>
      <c r="S12" s="50"/>
      <c r="T12" s="50"/>
      <c r="U12" s="50"/>
      <c r="V12" s="50"/>
      <c r="W12" s="50"/>
      <c r="X12" s="50"/>
      <c r="Y12" s="50"/>
      <c r="Z12" s="50"/>
    </row>
    <row r="13">
      <c r="A13" s="53" t="str">
        <f t="shared" si="1"/>
        <v>US-2-TC-11</v>
      </c>
      <c r="B13" s="66" t="s">
        <v>279</v>
      </c>
      <c r="C13" s="54" t="s">
        <v>222</v>
      </c>
      <c r="D13" s="54" t="s">
        <v>275</v>
      </c>
      <c r="E13" s="55"/>
      <c r="F13" s="55" t="s">
        <v>53</v>
      </c>
      <c r="G13" s="55"/>
      <c r="H13" s="50"/>
      <c r="I13" s="50"/>
      <c r="J13" s="50"/>
      <c r="K13" s="50"/>
      <c r="L13" s="50"/>
      <c r="M13" s="50"/>
      <c r="N13" s="50"/>
      <c r="O13" s="50"/>
      <c r="P13" s="50"/>
      <c r="Q13" s="50"/>
      <c r="R13" s="50"/>
      <c r="S13" s="50"/>
      <c r="T13" s="50"/>
      <c r="U13" s="50"/>
      <c r="V13" s="50"/>
      <c r="W13" s="50"/>
      <c r="X13" s="50"/>
      <c r="Y13" s="50"/>
      <c r="Z13" s="50"/>
    </row>
    <row r="14">
      <c r="A14" s="53" t="str">
        <f t="shared" si="1"/>
        <v>US-2-TC-12</v>
      </c>
      <c r="B14" s="65" t="s">
        <v>280</v>
      </c>
      <c r="C14" s="54" t="s">
        <v>222</v>
      </c>
      <c r="D14" s="54" t="s">
        <v>275</v>
      </c>
      <c r="E14" s="55"/>
      <c r="F14" s="55" t="s">
        <v>53</v>
      </c>
      <c r="G14" s="55"/>
      <c r="H14" s="50"/>
      <c r="I14" s="50"/>
      <c r="J14" s="50"/>
      <c r="K14" s="50"/>
      <c r="L14" s="50"/>
      <c r="M14" s="50"/>
      <c r="N14" s="50"/>
      <c r="O14" s="50"/>
      <c r="P14" s="50"/>
      <c r="Q14" s="50"/>
      <c r="R14" s="50"/>
      <c r="S14" s="50"/>
      <c r="T14" s="50"/>
      <c r="U14" s="50"/>
      <c r="V14" s="50"/>
      <c r="W14" s="50"/>
      <c r="X14" s="50"/>
      <c r="Y14" s="50"/>
      <c r="Z14" s="50"/>
    </row>
    <row r="15">
      <c r="A15" s="53" t="str">
        <f t="shared" si="1"/>
        <v>US-2-TC-13</v>
      </c>
      <c r="B15" s="65" t="s">
        <v>281</v>
      </c>
      <c r="C15" s="54" t="s">
        <v>222</v>
      </c>
      <c r="D15" s="54" t="s">
        <v>275</v>
      </c>
      <c r="E15" s="55"/>
      <c r="F15" s="55" t="s">
        <v>51</v>
      </c>
      <c r="G15" s="55" t="s">
        <v>80</v>
      </c>
      <c r="H15" s="50"/>
      <c r="I15" s="50"/>
      <c r="J15" s="50"/>
      <c r="K15" s="50"/>
      <c r="L15" s="50"/>
      <c r="M15" s="50"/>
      <c r="N15" s="50"/>
      <c r="O15" s="50"/>
      <c r="P15" s="50"/>
      <c r="Q15" s="50"/>
      <c r="R15" s="50"/>
      <c r="S15" s="50"/>
      <c r="T15" s="50"/>
      <c r="U15" s="50"/>
      <c r="V15" s="50"/>
      <c r="W15" s="50"/>
      <c r="X15" s="50"/>
      <c r="Y15" s="50"/>
      <c r="Z15" s="50"/>
    </row>
    <row r="16">
      <c r="A16" s="53" t="str">
        <f t="shared" si="1"/>
        <v>US-2-TC-14</v>
      </c>
      <c r="B16" s="53" t="s">
        <v>282</v>
      </c>
      <c r="C16" s="54" t="s">
        <v>222</v>
      </c>
      <c r="D16" s="54" t="s">
        <v>283</v>
      </c>
      <c r="E16" s="55" t="s">
        <v>284</v>
      </c>
      <c r="F16" s="55" t="s">
        <v>53</v>
      </c>
      <c r="G16" s="56"/>
      <c r="H16" s="50"/>
      <c r="I16" s="50"/>
      <c r="J16" s="50"/>
      <c r="K16" s="50"/>
      <c r="L16" s="50"/>
      <c r="M16" s="50"/>
      <c r="N16" s="50"/>
      <c r="O16" s="50"/>
      <c r="P16" s="50"/>
      <c r="Q16" s="50"/>
      <c r="R16" s="50"/>
      <c r="S16" s="50"/>
      <c r="T16" s="50"/>
      <c r="U16" s="50"/>
      <c r="V16" s="50"/>
      <c r="W16" s="50"/>
      <c r="X16" s="50"/>
      <c r="Y16" s="50"/>
      <c r="Z16" s="50"/>
    </row>
    <row r="17">
      <c r="A17" s="53" t="str">
        <f t="shared" si="1"/>
        <v>US-2-TC-15</v>
      </c>
      <c r="B17" s="53" t="s">
        <v>285</v>
      </c>
      <c r="C17" s="54" t="s">
        <v>222</v>
      </c>
      <c r="D17" s="54" t="s">
        <v>286</v>
      </c>
      <c r="E17" s="55" t="s">
        <v>287</v>
      </c>
      <c r="F17" s="55" t="s">
        <v>53</v>
      </c>
      <c r="G17" s="56"/>
      <c r="H17" s="50"/>
      <c r="I17" s="50"/>
      <c r="J17" s="50"/>
      <c r="K17" s="50"/>
      <c r="L17" s="50"/>
      <c r="M17" s="50"/>
      <c r="N17" s="50"/>
      <c r="O17" s="50"/>
      <c r="P17" s="50"/>
      <c r="Q17" s="50"/>
      <c r="R17" s="50"/>
      <c r="S17" s="50"/>
      <c r="T17" s="50"/>
      <c r="U17" s="50"/>
      <c r="V17" s="50"/>
      <c r="W17" s="50"/>
      <c r="X17" s="50"/>
      <c r="Y17" s="50"/>
      <c r="Z17" s="50"/>
    </row>
    <row r="18">
      <c r="A18" s="47"/>
      <c r="B18" s="67"/>
      <c r="C18" s="49"/>
      <c r="D18" s="49"/>
      <c r="E18" s="49"/>
      <c r="F18" s="49"/>
      <c r="G18" s="49"/>
      <c r="H18" s="50"/>
      <c r="I18" s="50"/>
      <c r="J18" s="50"/>
      <c r="K18" s="50"/>
      <c r="L18" s="50"/>
      <c r="M18" s="50"/>
      <c r="N18" s="50"/>
      <c r="O18" s="50"/>
      <c r="P18" s="50"/>
      <c r="Q18" s="50"/>
      <c r="R18" s="50"/>
      <c r="S18" s="50"/>
      <c r="T18" s="50"/>
      <c r="U18" s="50"/>
      <c r="V18" s="50"/>
      <c r="W18" s="50"/>
      <c r="X18" s="50"/>
      <c r="Y18" s="50"/>
      <c r="Z18" s="50"/>
    </row>
    <row r="19">
      <c r="A19" s="68"/>
      <c r="B19" s="68"/>
      <c r="C19" s="68"/>
      <c r="D19" s="68"/>
      <c r="E19" s="68"/>
      <c r="F19" s="68"/>
      <c r="G19" s="68"/>
      <c r="H19" s="50"/>
      <c r="I19" s="50"/>
      <c r="J19" s="50"/>
      <c r="K19" s="50"/>
      <c r="L19" s="50"/>
      <c r="M19" s="50"/>
      <c r="N19" s="50"/>
      <c r="O19" s="50"/>
      <c r="P19" s="50"/>
      <c r="Q19" s="50"/>
      <c r="R19" s="50"/>
      <c r="S19" s="50"/>
      <c r="T19" s="50"/>
      <c r="U19" s="50"/>
      <c r="V19" s="50"/>
      <c r="W19" s="50"/>
      <c r="X19" s="50"/>
      <c r="Y19" s="50"/>
      <c r="Z19" s="50"/>
    </row>
    <row r="20">
      <c r="A20" s="53"/>
      <c r="B20" s="53"/>
      <c r="C20" s="54"/>
      <c r="D20" s="62"/>
      <c r="E20" s="55"/>
      <c r="F20" s="63"/>
      <c r="G20" s="56"/>
      <c r="H20" s="50"/>
      <c r="I20" s="50"/>
      <c r="J20" s="50"/>
      <c r="K20" s="50"/>
      <c r="L20" s="50"/>
      <c r="M20" s="50"/>
      <c r="N20" s="50"/>
      <c r="O20" s="50"/>
      <c r="P20" s="50"/>
      <c r="Q20" s="50"/>
      <c r="R20" s="50"/>
      <c r="S20" s="50"/>
      <c r="T20" s="50"/>
      <c r="U20" s="50"/>
      <c r="V20" s="50"/>
      <c r="W20" s="50"/>
      <c r="X20" s="50"/>
      <c r="Y20" s="50"/>
      <c r="Z20" s="50"/>
    </row>
    <row r="21">
      <c r="A21" s="53"/>
      <c r="B21" s="53"/>
      <c r="C21" s="54"/>
      <c r="D21" s="62"/>
      <c r="E21" s="55"/>
      <c r="F21" s="63"/>
      <c r="G21" s="56"/>
      <c r="H21" s="50"/>
      <c r="I21" s="50"/>
      <c r="J21" s="50"/>
      <c r="K21" s="50"/>
      <c r="L21" s="50"/>
      <c r="M21" s="50"/>
      <c r="N21" s="50"/>
      <c r="O21" s="50"/>
      <c r="P21" s="50"/>
      <c r="Q21" s="50"/>
      <c r="R21" s="50"/>
      <c r="S21" s="50"/>
      <c r="T21" s="50"/>
      <c r="U21" s="50"/>
      <c r="V21" s="50"/>
      <c r="W21" s="50"/>
      <c r="X21" s="50"/>
      <c r="Y21" s="50"/>
      <c r="Z21" s="50"/>
    </row>
    <row r="22">
      <c r="A22" s="53"/>
      <c r="B22" s="53"/>
      <c r="C22" s="54"/>
      <c r="D22" s="62"/>
      <c r="E22" s="55"/>
      <c r="F22" s="63"/>
      <c r="G22" s="56"/>
      <c r="H22" s="50"/>
      <c r="I22" s="50"/>
      <c r="J22" s="50"/>
      <c r="K22" s="50"/>
      <c r="L22" s="50"/>
      <c r="M22" s="50"/>
      <c r="N22" s="50"/>
      <c r="O22" s="50"/>
      <c r="P22" s="50"/>
      <c r="Q22" s="50"/>
      <c r="R22" s="50"/>
      <c r="S22" s="50"/>
      <c r="T22" s="50"/>
      <c r="U22" s="50"/>
      <c r="V22" s="50"/>
      <c r="W22" s="50"/>
      <c r="X22" s="50"/>
      <c r="Y22" s="50"/>
      <c r="Z22" s="50"/>
    </row>
    <row r="23">
      <c r="A23" s="53"/>
      <c r="B23" s="53"/>
      <c r="C23" s="54"/>
      <c r="D23" s="62"/>
      <c r="E23" s="55"/>
      <c r="F23" s="63"/>
      <c r="G23" s="56"/>
      <c r="H23" s="50"/>
      <c r="I23" s="50"/>
      <c r="J23" s="50"/>
      <c r="K23" s="50"/>
      <c r="L23" s="50"/>
      <c r="M23" s="50"/>
      <c r="N23" s="50"/>
      <c r="O23" s="50"/>
      <c r="P23" s="50"/>
      <c r="Q23" s="50"/>
      <c r="R23" s="50"/>
      <c r="S23" s="50"/>
      <c r="T23" s="50"/>
      <c r="U23" s="50"/>
      <c r="V23" s="50"/>
      <c r="W23" s="50"/>
      <c r="X23" s="50"/>
      <c r="Y23" s="50"/>
      <c r="Z23" s="50"/>
    </row>
    <row r="24">
      <c r="A24" s="53"/>
      <c r="B24" s="53"/>
      <c r="C24" s="54"/>
      <c r="D24" s="62"/>
      <c r="E24" s="55"/>
      <c r="F24" s="63"/>
      <c r="G24" s="56"/>
      <c r="H24" s="50"/>
      <c r="I24" s="50"/>
      <c r="J24" s="50"/>
      <c r="K24" s="50"/>
      <c r="L24" s="50"/>
      <c r="M24" s="50"/>
      <c r="N24" s="50"/>
      <c r="O24" s="50"/>
      <c r="P24" s="50"/>
      <c r="Q24" s="50"/>
      <c r="R24" s="50"/>
      <c r="S24" s="50"/>
      <c r="T24" s="50"/>
      <c r="U24" s="50"/>
      <c r="V24" s="50"/>
      <c r="W24" s="50"/>
      <c r="X24" s="50"/>
      <c r="Y24" s="50"/>
      <c r="Z24" s="50"/>
    </row>
    <row r="25">
      <c r="A25" s="53"/>
      <c r="B25" s="53"/>
      <c r="C25" s="54"/>
      <c r="D25" s="62"/>
      <c r="E25" s="55"/>
      <c r="F25" s="63"/>
      <c r="G25" s="56"/>
      <c r="H25" s="50"/>
      <c r="I25" s="50"/>
      <c r="J25" s="50"/>
      <c r="K25" s="50"/>
      <c r="L25" s="50"/>
      <c r="M25" s="50"/>
      <c r="N25" s="50"/>
      <c r="O25" s="50"/>
      <c r="P25" s="50"/>
      <c r="Q25" s="50"/>
      <c r="R25" s="50"/>
      <c r="S25" s="50"/>
      <c r="T25" s="50"/>
      <c r="U25" s="50"/>
      <c r="V25" s="50"/>
      <c r="W25" s="50"/>
      <c r="X25" s="50"/>
      <c r="Y25" s="50"/>
      <c r="Z25" s="50"/>
    </row>
    <row r="26">
      <c r="A26" s="53"/>
      <c r="B26" s="53"/>
      <c r="C26" s="54"/>
      <c r="D26" s="62"/>
      <c r="E26" s="55"/>
      <c r="F26" s="63"/>
      <c r="G26" s="56"/>
      <c r="H26" s="50"/>
      <c r="I26" s="50"/>
      <c r="J26" s="50"/>
      <c r="K26" s="50"/>
      <c r="L26" s="50"/>
      <c r="M26" s="50"/>
      <c r="N26" s="50"/>
      <c r="O26" s="50"/>
      <c r="P26" s="50"/>
      <c r="Q26" s="50"/>
      <c r="R26" s="50"/>
      <c r="S26" s="50"/>
      <c r="T26" s="50"/>
      <c r="U26" s="50"/>
      <c r="V26" s="50"/>
      <c r="W26" s="50"/>
      <c r="X26" s="50"/>
      <c r="Y26" s="50"/>
      <c r="Z26" s="50"/>
    </row>
    <row r="27">
      <c r="A27" s="53"/>
      <c r="B27" s="64"/>
      <c r="C27" s="54"/>
      <c r="D27" s="62"/>
      <c r="E27" s="55"/>
      <c r="F27" s="63"/>
      <c r="G27" s="56"/>
      <c r="H27" s="50"/>
      <c r="I27" s="50"/>
      <c r="J27" s="50"/>
      <c r="K27" s="50"/>
      <c r="L27" s="50"/>
      <c r="M27" s="50"/>
      <c r="N27" s="50"/>
      <c r="O27" s="50"/>
      <c r="P27" s="50"/>
      <c r="Q27" s="50"/>
      <c r="R27" s="50"/>
      <c r="S27" s="50"/>
      <c r="T27" s="50"/>
      <c r="U27" s="50"/>
      <c r="V27" s="50"/>
      <c r="W27" s="50"/>
      <c r="X27" s="50"/>
      <c r="Y27" s="50"/>
      <c r="Z27" s="50"/>
    </row>
    <row r="28">
      <c r="A28" s="53"/>
      <c r="B28" s="53"/>
      <c r="C28" s="54"/>
      <c r="D28" s="62"/>
      <c r="E28" s="55"/>
      <c r="F28" s="63"/>
      <c r="G28" s="56"/>
      <c r="H28" s="50"/>
      <c r="I28" s="50"/>
      <c r="J28" s="50"/>
      <c r="K28" s="50"/>
      <c r="L28" s="50"/>
      <c r="M28" s="50"/>
      <c r="N28" s="50"/>
      <c r="O28" s="50"/>
      <c r="P28" s="50"/>
      <c r="Q28" s="50"/>
      <c r="R28" s="50"/>
      <c r="S28" s="50"/>
      <c r="T28" s="50"/>
      <c r="U28" s="50"/>
      <c r="V28" s="50"/>
      <c r="W28" s="50"/>
      <c r="X28" s="50"/>
      <c r="Y28" s="50"/>
      <c r="Z28" s="50"/>
    </row>
    <row r="29">
      <c r="A29" s="53"/>
      <c r="B29" s="53"/>
      <c r="C29" s="54"/>
      <c r="D29" s="62"/>
      <c r="E29" s="55"/>
      <c r="F29" s="63"/>
      <c r="G29" s="56"/>
      <c r="H29" s="50"/>
      <c r="I29" s="50"/>
      <c r="J29" s="50"/>
      <c r="K29" s="50"/>
      <c r="L29" s="50"/>
      <c r="M29" s="50"/>
      <c r="N29" s="50"/>
      <c r="O29" s="50"/>
      <c r="P29" s="50"/>
      <c r="Q29" s="50"/>
      <c r="R29" s="50"/>
      <c r="S29" s="50"/>
      <c r="T29" s="50"/>
      <c r="U29" s="50"/>
      <c r="V29" s="50"/>
      <c r="W29" s="50"/>
      <c r="X29" s="50"/>
      <c r="Y29" s="50"/>
      <c r="Z29" s="50"/>
    </row>
    <row r="30">
      <c r="A30" s="53"/>
      <c r="B30" s="53"/>
      <c r="C30" s="54"/>
      <c r="D30" s="62"/>
      <c r="E30" s="55"/>
      <c r="F30" s="63"/>
      <c r="G30" s="56"/>
      <c r="H30" s="50"/>
      <c r="I30" s="50"/>
      <c r="J30" s="50"/>
      <c r="K30" s="50"/>
      <c r="L30" s="50"/>
      <c r="M30" s="50"/>
      <c r="N30" s="50"/>
      <c r="O30" s="50"/>
      <c r="P30" s="50"/>
      <c r="Q30" s="50"/>
      <c r="R30" s="50"/>
      <c r="S30" s="50"/>
      <c r="T30" s="50"/>
      <c r="U30" s="50"/>
      <c r="V30" s="50"/>
      <c r="W30" s="50"/>
      <c r="X30" s="50"/>
      <c r="Y30" s="50"/>
      <c r="Z30" s="50"/>
    </row>
    <row r="31">
      <c r="A31" s="53"/>
      <c r="B31" s="53"/>
      <c r="C31" s="54"/>
      <c r="D31" s="62"/>
      <c r="E31" s="55"/>
      <c r="F31" s="63"/>
      <c r="G31" s="56"/>
      <c r="H31" s="50"/>
      <c r="I31" s="50"/>
      <c r="J31" s="50"/>
      <c r="K31" s="50"/>
      <c r="L31" s="50"/>
      <c r="M31" s="50"/>
      <c r="N31" s="50"/>
      <c r="O31" s="50"/>
      <c r="P31" s="50"/>
      <c r="Q31" s="50"/>
      <c r="R31" s="50"/>
      <c r="S31" s="50"/>
      <c r="T31" s="50"/>
      <c r="U31" s="50"/>
      <c r="V31" s="50"/>
      <c r="W31" s="50"/>
      <c r="X31" s="50"/>
      <c r="Y31" s="50"/>
      <c r="Z31" s="50"/>
    </row>
    <row r="32">
      <c r="A32" s="53"/>
      <c r="B32" s="53"/>
      <c r="C32" s="54"/>
      <c r="D32" s="62"/>
      <c r="E32" s="55"/>
      <c r="F32" s="63"/>
      <c r="G32" s="56"/>
      <c r="H32" s="50"/>
      <c r="I32" s="50"/>
      <c r="J32" s="50"/>
      <c r="K32" s="50"/>
      <c r="L32" s="50"/>
      <c r="M32" s="50"/>
      <c r="N32" s="50"/>
      <c r="O32" s="50"/>
      <c r="P32" s="50"/>
      <c r="Q32" s="50"/>
      <c r="R32" s="50"/>
      <c r="S32" s="50"/>
      <c r="T32" s="50"/>
      <c r="U32" s="50"/>
      <c r="V32" s="50"/>
      <c r="W32" s="50"/>
      <c r="X32" s="50"/>
      <c r="Y32" s="50"/>
      <c r="Z32" s="50"/>
    </row>
    <row r="33">
      <c r="A33" s="53"/>
      <c r="B33" s="53"/>
      <c r="C33" s="54"/>
      <c r="D33" s="62"/>
      <c r="E33" s="55"/>
      <c r="F33" s="63"/>
      <c r="G33" s="56"/>
      <c r="H33" s="50"/>
      <c r="I33" s="50"/>
      <c r="J33" s="50"/>
      <c r="K33" s="50"/>
      <c r="L33" s="50"/>
      <c r="M33" s="50"/>
      <c r="N33" s="50"/>
      <c r="O33" s="50"/>
      <c r="P33" s="50"/>
      <c r="Q33" s="50"/>
      <c r="R33" s="50"/>
      <c r="S33" s="50"/>
      <c r="T33" s="50"/>
      <c r="U33" s="50"/>
      <c r="V33" s="50"/>
      <c r="W33" s="50"/>
      <c r="X33" s="50"/>
      <c r="Y33" s="50"/>
      <c r="Z33" s="50"/>
    </row>
    <row r="34" ht="231.75" customHeight="1">
      <c r="A34" s="53"/>
      <c r="B34" s="53"/>
      <c r="C34" s="54"/>
      <c r="D34" s="62"/>
      <c r="E34" s="55"/>
      <c r="F34" s="63"/>
      <c r="G34" s="56"/>
      <c r="H34" s="50"/>
      <c r="I34" s="50"/>
      <c r="J34" s="50"/>
      <c r="K34" s="50"/>
      <c r="L34" s="50"/>
      <c r="M34" s="50"/>
      <c r="N34" s="50"/>
      <c r="O34" s="50"/>
      <c r="P34" s="50"/>
      <c r="Q34" s="50"/>
      <c r="R34" s="50"/>
      <c r="S34" s="50"/>
      <c r="T34" s="50"/>
      <c r="U34" s="50"/>
      <c r="V34" s="50"/>
      <c r="W34" s="50"/>
      <c r="X34" s="50"/>
      <c r="Y34" s="50"/>
      <c r="Z34" s="50"/>
    </row>
    <row r="35">
      <c r="A35" s="53"/>
      <c r="B35" s="53"/>
      <c r="C35" s="54"/>
      <c r="D35" s="62"/>
      <c r="E35" s="55"/>
      <c r="F35" s="63"/>
      <c r="G35" s="56"/>
      <c r="H35" s="50"/>
      <c r="I35" s="50"/>
      <c r="J35" s="50"/>
      <c r="K35" s="50"/>
      <c r="L35" s="50"/>
      <c r="M35" s="50"/>
      <c r="N35" s="50"/>
      <c r="O35" s="50"/>
      <c r="P35" s="50"/>
      <c r="Q35" s="50"/>
      <c r="R35" s="50"/>
      <c r="S35" s="50"/>
      <c r="T35" s="50"/>
      <c r="U35" s="50"/>
      <c r="V35" s="50"/>
      <c r="W35" s="50"/>
      <c r="X35" s="50"/>
      <c r="Y35" s="50"/>
      <c r="Z35" s="50"/>
    </row>
    <row r="36">
      <c r="A36" s="53"/>
      <c r="B36" s="53"/>
      <c r="C36" s="54"/>
      <c r="D36" s="62"/>
      <c r="E36" s="55"/>
      <c r="F36" s="63"/>
      <c r="G36" s="56"/>
      <c r="H36" s="50"/>
      <c r="I36" s="50"/>
      <c r="J36" s="50"/>
      <c r="K36" s="50"/>
      <c r="L36" s="50"/>
      <c r="M36" s="50"/>
      <c r="N36" s="50"/>
      <c r="O36" s="50"/>
      <c r="P36" s="50"/>
      <c r="Q36" s="50"/>
      <c r="R36" s="50"/>
      <c r="S36" s="50"/>
      <c r="T36" s="50"/>
      <c r="U36" s="50"/>
      <c r="V36" s="50"/>
      <c r="W36" s="50"/>
      <c r="X36" s="50"/>
      <c r="Y36" s="50"/>
      <c r="Z36" s="50"/>
    </row>
    <row r="37">
      <c r="A37" s="53"/>
      <c r="B37" s="53"/>
      <c r="C37" s="54"/>
      <c r="D37" s="62"/>
      <c r="E37" s="55"/>
      <c r="F37" s="63"/>
      <c r="G37" s="56"/>
      <c r="H37" s="50"/>
      <c r="I37" s="50"/>
      <c r="J37" s="50"/>
      <c r="K37" s="50"/>
      <c r="L37" s="50"/>
      <c r="M37" s="50"/>
      <c r="N37" s="50"/>
      <c r="O37" s="50"/>
      <c r="P37" s="50"/>
      <c r="Q37" s="50"/>
      <c r="R37" s="50"/>
      <c r="S37" s="50"/>
      <c r="T37" s="50"/>
      <c r="U37" s="50"/>
      <c r="V37" s="50"/>
      <c r="W37" s="50"/>
      <c r="X37" s="50"/>
      <c r="Y37" s="50"/>
      <c r="Z37" s="50"/>
    </row>
    <row r="38">
      <c r="A38" s="53"/>
      <c r="B38" s="53"/>
      <c r="C38" s="54"/>
      <c r="D38" s="62"/>
      <c r="E38" s="55"/>
      <c r="F38" s="63"/>
      <c r="G38" s="56"/>
      <c r="H38" s="50"/>
      <c r="I38" s="50"/>
      <c r="J38" s="50"/>
      <c r="K38" s="50"/>
      <c r="L38" s="50"/>
      <c r="M38" s="50"/>
      <c r="N38" s="50"/>
      <c r="O38" s="50"/>
      <c r="P38" s="50"/>
      <c r="Q38" s="50"/>
      <c r="R38" s="50"/>
      <c r="S38" s="50"/>
      <c r="T38" s="50"/>
      <c r="U38" s="50"/>
      <c r="V38" s="50"/>
      <c r="W38" s="50"/>
      <c r="X38" s="50"/>
      <c r="Y38" s="50"/>
      <c r="Z38" s="50"/>
    </row>
  </sheetData>
  <conditionalFormatting sqref="F2">
    <cfRule type="colorScale" priority="1">
      <colorScale>
        <cfvo type="min"/>
        <cfvo type="max"/>
        <color rgb="FFFFFFFF"/>
        <color rgb="FF57BB8A"/>
      </colorScale>
    </cfRule>
  </conditionalFormatting>
  <dataValidations>
    <dataValidation type="list" allowBlank="1" sqref="F3:F17">
      <formula1>"OPEN,BLOCKED,PASSED,FAILED"</formula1>
    </dataValidation>
  </dataValidations>
  <hyperlinks>
    <hyperlink r:id="rId1" ref="B1"/>
  </hyperlinks>
  <printOptions gridLines="1" horizontalCentered="1"/>
  <pageMargins bottom="0.75" footer="0.0" header="0.0" left="0.7" right="0.7" top="0.75"/>
  <pageSetup fitToHeight="0" cellComments="atEnd" orientation="landscape" pageOrder="overThenDown"/>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2.38"/>
    <col customWidth="1" min="2" max="2" width="61.13"/>
    <col customWidth="1" min="3" max="3" width="50.13"/>
    <col customWidth="1" min="4" max="4" width="48.38"/>
    <col customWidth="1" min="5" max="5" width="56.63"/>
    <col customWidth="1" min="6" max="6" width="21.63"/>
    <col customWidth="1" min="7" max="7" width="22.75"/>
  </cols>
  <sheetData>
    <row r="1">
      <c r="A1" s="47" t="s">
        <v>32</v>
      </c>
      <c r="B1" s="67" t="s">
        <v>288</v>
      </c>
      <c r="C1" s="69"/>
      <c r="D1" s="49"/>
      <c r="E1" s="49"/>
      <c r="F1" s="49"/>
      <c r="G1" s="49"/>
      <c r="H1" s="50"/>
      <c r="I1" s="50"/>
      <c r="J1" s="50"/>
      <c r="K1" s="50"/>
      <c r="L1" s="50"/>
      <c r="M1" s="50"/>
      <c r="N1" s="50"/>
      <c r="O1" s="50"/>
      <c r="P1" s="50"/>
      <c r="Q1" s="50"/>
      <c r="R1" s="50"/>
      <c r="S1" s="50"/>
      <c r="T1" s="50"/>
      <c r="U1" s="50"/>
      <c r="V1" s="50"/>
      <c r="W1" s="50"/>
      <c r="X1" s="50"/>
      <c r="Y1" s="50"/>
      <c r="Z1" s="50"/>
    </row>
    <row r="2">
      <c r="A2" s="51" t="s">
        <v>14</v>
      </c>
      <c r="B2" s="51" t="s">
        <v>16</v>
      </c>
      <c r="C2" s="52" t="s">
        <v>18</v>
      </c>
      <c r="D2" s="52" t="s">
        <v>20</v>
      </c>
      <c r="E2" s="52" t="s">
        <v>219</v>
      </c>
      <c r="F2" s="52" t="s">
        <v>24</v>
      </c>
      <c r="G2" s="52" t="s">
        <v>26</v>
      </c>
      <c r="H2" s="50"/>
      <c r="I2" s="50"/>
      <c r="J2" s="50"/>
      <c r="K2" s="50"/>
      <c r="L2" s="50"/>
      <c r="M2" s="50"/>
      <c r="N2" s="50"/>
      <c r="O2" s="50"/>
      <c r="P2" s="50"/>
      <c r="Q2" s="50"/>
      <c r="R2" s="50"/>
      <c r="S2" s="50"/>
      <c r="T2" s="50"/>
      <c r="U2" s="50"/>
      <c r="V2" s="50"/>
      <c r="W2" s="50"/>
      <c r="X2" s="50"/>
      <c r="Y2" s="50"/>
      <c r="Z2" s="50"/>
    </row>
    <row r="3">
      <c r="A3" s="53" t="str">
        <f t="shared" ref="A3:A8" si="1">IF(B3&lt;&gt;"", "US-3-TC-" &amp; TEXT(COUNTA($B$4:B4), "00"), "")
</f>
        <v>US-3-TC-01</v>
      </c>
      <c r="B3" s="53" t="s">
        <v>289</v>
      </c>
      <c r="C3" s="54" t="s">
        <v>222</v>
      </c>
      <c r="D3" s="54" t="s">
        <v>290</v>
      </c>
      <c r="E3" s="55" t="s">
        <v>291</v>
      </c>
      <c r="F3" s="55" t="s">
        <v>53</v>
      </c>
      <c r="G3" s="55"/>
      <c r="H3" s="50"/>
      <c r="I3" s="50"/>
      <c r="J3" s="50"/>
      <c r="K3" s="50"/>
      <c r="L3" s="50"/>
      <c r="M3" s="50"/>
      <c r="N3" s="50"/>
      <c r="O3" s="50"/>
      <c r="P3" s="50"/>
      <c r="Q3" s="50"/>
      <c r="R3" s="50"/>
      <c r="S3" s="50"/>
      <c r="T3" s="50"/>
      <c r="U3" s="50"/>
      <c r="V3" s="50"/>
      <c r="W3" s="50"/>
      <c r="X3" s="50"/>
      <c r="Y3" s="50"/>
      <c r="Z3" s="50"/>
    </row>
    <row r="4">
      <c r="A4" s="53" t="str">
        <f t="shared" si="1"/>
        <v>US-3-TC-02</v>
      </c>
      <c r="B4" s="53" t="s">
        <v>292</v>
      </c>
      <c r="C4" s="54" t="s">
        <v>222</v>
      </c>
      <c r="D4" s="54" t="s">
        <v>290</v>
      </c>
      <c r="E4" s="55" t="s">
        <v>291</v>
      </c>
      <c r="F4" s="55" t="s">
        <v>53</v>
      </c>
      <c r="G4" s="55"/>
      <c r="H4" s="50"/>
      <c r="I4" s="50"/>
      <c r="J4" s="50"/>
      <c r="K4" s="50"/>
      <c r="L4" s="50"/>
      <c r="M4" s="50"/>
      <c r="N4" s="50"/>
      <c r="O4" s="50"/>
      <c r="P4" s="50"/>
      <c r="Q4" s="50"/>
      <c r="R4" s="50"/>
      <c r="S4" s="50"/>
      <c r="T4" s="50"/>
      <c r="U4" s="50"/>
      <c r="V4" s="50"/>
      <c r="W4" s="50"/>
      <c r="X4" s="50"/>
      <c r="Y4" s="50"/>
      <c r="Z4" s="50"/>
    </row>
    <row r="5">
      <c r="A5" s="53" t="str">
        <f t="shared" si="1"/>
        <v>US-3-TC-03</v>
      </c>
      <c r="B5" s="53" t="s">
        <v>293</v>
      </c>
      <c r="C5" s="54" t="s">
        <v>222</v>
      </c>
      <c r="D5" s="54" t="s">
        <v>294</v>
      </c>
      <c r="E5" s="55" t="s">
        <v>291</v>
      </c>
      <c r="F5" s="55" t="s">
        <v>53</v>
      </c>
      <c r="G5" s="56"/>
      <c r="H5" s="50"/>
      <c r="I5" s="50"/>
      <c r="J5" s="50"/>
      <c r="K5" s="50"/>
      <c r="L5" s="50"/>
      <c r="M5" s="50"/>
      <c r="N5" s="50"/>
      <c r="O5" s="50"/>
      <c r="P5" s="50"/>
      <c r="Q5" s="50"/>
      <c r="R5" s="50"/>
      <c r="S5" s="50"/>
      <c r="T5" s="50"/>
      <c r="U5" s="50"/>
      <c r="V5" s="50"/>
      <c r="W5" s="50"/>
      <c r="X5" s="50"/>
      <c r="Y5" s="50"/>
      <c r="Z5" s="50"/>
    </row>
    <row r="6">
      <c r="A6" s="53" t="str">
        <f t="shared" si="1"/>
        <v>US-3-TC-04</v>
      </c>
      <c r="B6" s="53" t="s">
        <v>295</v>
      </c>
      <c r="C6" s="54" t="s">
        <v>222</v>
      </c>
      <c r="D6" s="54" t="s">
        <v>296</v>
      </c>
      <c r="E6" s="55" t="s">
        <v>291</v>
      </c>
      <c r="F6" s="55" t="s">
        <v>53</v>
      </c>
      <c r="G6" s="55"/>
      <c r="H6" s="50"/>
      <c r="I6" s="50"/>
      <c r="J6" s="50"/>
      <c r="K6" s="50"/>
      <c r="L6" s="50"/>
      <c r="M6" s="50"/>
      <c r="N6" s="50"/>
      <c r="O6" s="50"/>
      <c r="P6" s="50"/>
      <c r="Q6" s="50"/>
      <c r="R6" s="50"/>
      <c r="S6" s="50"/>
      <c r="T6" s="50"/>
      <c r="U6" s="50"/>
      <c r="V6" s="50"/>
      <c r="W6" s="50"/>
      <c r="X6" s="50"/>
      <c r="Y6" s="50"/>
      <c r="Z6" s="50"/>
    </row>
    <row r="7">
      <c r="A7" s="53" t="str">
        <f t="shared" si="1"/>
        <v>US-3-TC-05</v>
      </c>
      <c r="B7" s="53" t="s">
        <v>297</v>
      </c>
      <c r="C7" s="54" t="s">
        <v>222</v>
      </c>
      <c r="D7" s="54" t="s">
        <v>298</v>
      </c>
      <c r="E7" s="55" t="s">
        <v>299</v>
      </c>
      <c r="F7" s="55" t="s">
        <v>53</v>
      </c>
      <c r="G7" s="55"/>
      <c r="H7" s="50"/>
      <c r="I7" s="50"/>
      <c r="J7" s="50"/>
      <c r="K7" s="50"/>
      <c r="L7" s="50"/>
      <c r="M7" s="50"/>
      <c r="N7" s="50"/>
      <c r="O7" s="50"/>
      <c r="P7" s="50"/>
      <c r="Q7" s="50"/>
      <c r="R7" s="50"/>
      <c r="S7" s="50"/>
      <c r="T7" s="50"/>
      <c r="U7" s="50"/>
      <c r="V7" s="50"/>
      <c r="W7" s="50"/>
      <c r="X7" s="50"/>
      <c r="Y7" s="50"/>
      <c r="Z7" s="50"/>
    </row>
    <row r="8">
      <c r="A8" s="53" t="str">
        <f t="shared" si="1"/>
        <v>US-3-TC-06</v>
      </c>
      <c r="B8" s="53" t="s">
        <v>300</v>
      </c>
      <c r="C8" s="54" t="s">
        <v>222</v>
      </c>
      <c r="D8" s="54" t="s">
        <v>301</v>
      </c>
      <c r="E8" s="55" t="s">
        <v>302</v>
      </c>
      <c r="F8" s="55" t="s">
        <v>53</v>
      </c>
      <c r="G8" s="56"/>
      <c r="H8" s="50"/>
      <c r="I8" s="50"/>
      <c r="J8" s="50"/>
      <c r="K8" s="50"/>
      <c r="L8" s="50"/>
      <c r="M8" s="50"/>
      <c r="N8" s="50"/>
      <c r="O8" s="50"/>
      <c r="P8" s="50"/>
      <c r="Q8" s="50"/>
      <c r="R8" s="50"/>
      <c r="S8" s="50"/>
      <c r="T8" s="50"/>
      <c r="U8" s="50"/>
      <c r="V8" s="50"/>
      <c r="W8" s="50"/>
      <c r="X8" s="50"/>
      <c r="Y8" s="50"/>
      <c r="Z8" s="50"/>
    </row>
    <row r="9">
      <c r="A9" s="53" t="str">
        <f t="shared" ref="A9:A10" si="2">IF(B9&lt;&gt;"", "US-3-TC-" &amp; TEXT(COUNTA($B$3:B10), "00"), "")
</f>
        <v>US-3-TC-07</v>
      </c>
      <c r="B9" s="53" t="s">
        <v>303</v>
      </c>
      <c r="C9" s="54" t="s">
        <v>222</v>
      </c>
      <c r="D9" s="54" t="s">
        <v>301</v>
      </c>
      <c r="E9" s="55" t="s">
        <v>304</v>
      </c>
      <c r="F9" s="55" t="s">
        <v>53</v>
      </c>
      <c r="G9" s="55"/>
      <c r="H9" s="50"/>
      <c r="I9" s="50"/>
      <c r="J9" s="50"/>
      <c r="K9" s="50"/>
      <c r="L9" s="50"/>
      <c r="M9" s="50"/>
      <c r="N9" s="50"/>
      <c r="O9" s="50"/>
      <c r="P9" s="50"/>
      <c r="Q9" s="50"/>
      <c r="R9" s="50"/>
      <c r="S9" s="50"/>
      <c r="T9" s="50"/>
      <c r="U9" s="50"/>
      <c r="V9" s="50"/>
      <c r="W9" s="50"/>
      <c r="X9" s="50"/>
      <c r="Y9" s="50"/>
      <c r="Z9" s="50"/>
    </row>
    <row r="10">
      <c r="A10" s="53" t="str">
        <f t="shared" si="2"/>
        <v/>
      </c>
      <c r="B10" s="53"/>
      <c r="C10" s="54"/>
      <c r="D10" s="54"/>
      <c r="E10" s="55"/>
      <c r="F10" s="55"/>
      <c r="G10" s="55"/>
      <c r="H10" s="50"/>
      <c r="I10" s="50"/>
      <c r="J10" s="50"/>
      <c r="K10" s="50"/>
      <c r="L10" s="50"/>
      <c r="M10" s="50"/>
      <c r="N10" s="50"/>
      <c r="O10" s="50"/>
      <c r="P10" s="50"/>
      <c r="Q10" s="50"/>
      <c r="R10" s="50"/>
      <c r="S10" s="50"/>
      <c r="T10" s="50"/>
      <c r="U10" s="50"/>
      <c r="V10" s="50"/>
      <c r="W10" s="50"/>
      <c r="X10" s="50"/>
      <c r="Y10" s="50"/>
      <c r="Z10" s="50"/>
    </row>
    <row r="11">
      <c r="A11" s="53"/>
      <c r="B11" s="53"/>
      <c r="C11" s="54"/>
      <c r="D11" s="54"/>
      <c r="E11" s="55"/>
      <c r="F11" s="55"/>
      <c r="G11" s="55"/>
      <c r="H11" s="50"/>
      <c r="I11" s="50"/>
      <c r="J11" s="50"/>
      <c r="K11" s="50"/>
      <c r="L11" s="50"/>
      <c r="M11" s="50"/>
      <c r="N11" s="50"/>
      <c r="O11" s="50"/>
      <c r="P11" s="50"/>
      <c r="Q11" s="50"/>
      <c r="R11" s="50"/>
      <c r="S11" s="50"/>
      <c r="T11" s="50"/>
      <c r="U11" s="50"/>
      <c r="V11" s="50"/>
      <c r="W11" s="50"/>
      <c r="X11" s="50"/>
      <c r="Y11" s="50"/>
      <c r="Z11" s="50"/>
    </row>
    <row r="12">
      <c r="A12" s="53"/>
      <c r="B12" s="65"/>
      <c r="C12" s="54"/>
      <c r="D12" s="54"/>
      <c r="E12" s="55"/>
      <c r="F12" s="55"/>
      <c r="G12" s="55"/>
      <c r="H12" s="50"/>
      <c r="I12" s="50"/>
      <c r="J12" s="50"/>
      <c r="K12" s="50"/>
      <c r="L12" s="50"/>
      <c r="M12" s="50"/>
      <c r="N12" s="50"/>
      <c r="O12" s="50"/>
      <c r="P12" s="50"/>
      <c r="Q12" s="50"/>
      <c r="R12" s="50"/>
      <c r="S12" s="50"/>
      <c r="T12" s="50"/>
      <c r="U12" s="50"/>
      <c r="V12" s="50"/>
      <c r="W12" s="50"/>
      <c r="X12" s="50"/>
      <c r="Y12" s="50"/>
      <c r="Z12" s="50"/>
    </row>
    <row r="13">
      <c r="A13" s="53"/>
      <c r="B13" s="65"/>
      <c r="C13" s="54"/>
      <c r="D13" s="54"/>
      <c r="E13" s="55"/>
      <c r="F13" s="55"/>
      <c r="G13" s="55"/>
      <c r="H13" s="50"/>
      <c r="I13" s="50"/>
      <c r="J13" s="50"/>
      <c r="K13" s="50"/>
      <c r="L13" s="50"/>
      <c r="M13" s="50"/>
      <c r="N13" s="50"/>
      <c r="O13" s="50"/>
      <c r="P13" s="50"/>
      <c r="Q13" s="50"/>
      <c r="R13" s="50"/>
      <c r="S13" s="50"/>
      <c r="T13" s="50"/>
      <c r="U13" s="50"/>
      <c r="V13" s="50"/>
      <c r="W13" s="50"/>
      <c r="X13" s="50"/>
      <c r="Y13" s="50"/>
      <c r="Z13" s="50"/>
    </row>
    <row r="14">
      <c r="A14" s="53"/>
      <c r="B14" s="66"/>
      <c r="C14" s="54"/>
      <c r="D14" s="54"/>
      <c r="E14" s="55"/>
      <c r="F14" s="55"/>
      <c r="G14" s="55"/>
      <c r="H14" s="50"/>
      <c r="I14" s="50"/>
      <c r="J14" s="50"/>
      <c r="K14" s="50"/>
      <c r="L14" s="50"/>
      <c r="M14" s="50"/>
      <c r="N14" s="50"/>
      <c r="O14" s="50"/>
      <c r="P14" s="50"/>
      <c r="Q14" s="50"/>
      <c r="R14" s="50"/>
      <c r="S14" s="50"/>
      <c r="T14" s="50"/>
      <c r="U14" s="50"/>
      <c r="V14" s="50"/>
      <c r="W14" s="50"/>
      <c r="X14" s="50"/>
      <c r="Y14" s="50"/>
      <c r="Z14" s="50"/>
    </row>
    <row r="15">
      <c r="A15" s="53"/>
      <c r="B15" s="65"/>
      <c r="C15" s="54"/>
      <c r="D15" s="54"/>
      <c r="E15" s="55"/>
      <c r="F15" s="55"/>
      <c r="G15" s="55"/>
      <c r="H15" s="50"/>
      <c r="I15" s="50"/>
      <c r="J15" s="50"/>
      <c r="K15" s="50"/>
      <c r="L15" s="50"/>
      <c r="M15" s="50"/>
      <c r="N15" s="50"/>
      <c r="O15" s="50"/>
      <c r="P15" s="50"/>
      <c r="Q15" s="50"/>
      <c r="R15" s="50"/>
      <c r="S15" s="50"/>
      <c r="T15" s="50"/>
      <c r="U15" s="50"/>
      <c r="V15" s="50"/>
      <c r="W15" s="50"/>
      <c r="X15" s="50"/>
      <c r="Y15" s="50"/>
      <c r="Z15" s="50"/>
    </row>
    <row r="16">
      <c r="A16" s="53"/>
      <c r="B16" s="65"/>
      <c r="C16" s="54"/>
      <c r="D16" s="54"/>
      <c r="E16" s="55"/>
      <c r="F16" s="55"/>
      <c r="G16" s="55"/>
      <c r="H16" s="50"/>
      <c r="I16" s="50"/>
      <c r="J16" s="50"/>
      <c r="K16" s="50"/>
      <c r="L16" s="50"/>
      <c r="M16" s="50"/>
      <c r="N16" s="50"/>
      <c r="O16" s="50"/>
      <c r="P16" s="50"/>
      <c r="Q16" s="50"/>
      <c r="R16" s="50"/>
      <c r="S16" s="50"/>
      <c r="T16" s="50"/>
      <c r="U16" s="50"/>
      <c r="V16" s="50"/>
      <c r="W16" s="50"/>
      <c r="X16" s="50"/>
      <c r="Y16" s="50"/>
      <c r="Z16" s="50"/>
    </row>
    <row r="17">
      <c r="A17" s="53"/>
      <c r="B17" s="53"/>
      <c r="C17" s="54"/>
      <c r="D17" s="54"/>
      <c r="E17" s="55"/>
      <c r="F17" s="55"/>
      <c r="G17" s="56"/>
      <c r="H17" s="50"/>
      <c r="I17" s="50"/>
      <c r="J17" s="50"/>
      <c r="K17" s="50"/>
      <c r="L17" s="50"/>
      <c r="M17" s="50"/>
      <c r="N17" s="50"/>
      <c r="O17" s="50"/>
      <c r="P17" s="50"/>
      <c r="Q17" s="50"/>
      <c r="R17" s="50"/>
      <c r="S17" s="50"/>
      <c r="T17" s="50"/>
      <c r="U17" s="50"/>
      <c r="V17" s="50"/>
      <c r="W17" s="50"/>
      <c r="X17" s="50"/>
      <c r="Y17" s="50"/>
      <c r="Z17" s="50"/>
    </row>
    <row r="18">
      <c r="A18" s="53"/>
      <c r="B18" s="53"/>
      <c r="C18" s="54"/>
      <c r="D18" s="54"/>
      <c r="E18" s="55"/>
      <c r="F18" s="55"/>
      <c r="G18" s="56"/>
      <c r="H18" s="50"/>
      <c r="I18" s="50"/>
      <c r="J18" s="50"/>
      <c r="K18" s="50"/>
      <c r="L18" s="50"/>
      <c r="M18" s="50"/>
      <c r="N18" s="50"/>
      <c r="O18" s="50"/>
      <c r="P18" s="50"/>
      <c r="Q18" s="50"/>
      <c r="R18" s="50"/>
      <c r="S18" s="50"/>
      <c r="T18" s="50"/>
      <c r="U18" s="50"/>
      <c r="V18" s="50"/>
      <c r="W18" s="50"/>
      <c r="X18" s="50"/>
      <c r="Y18" s="50"/>
      <c r="Z18" s="50"/>
    </row>
    <row r="19">
      <c r="A19" s="68"/>
      <c r="B19" s="68"/>
      <c r="C19" s="68"/>
      <c r="D19" s="68"/>
      <c r="E19" s="68"/>
      <c r="F19" s="68"/>
      <c r="G19" s="68"/>
      <c r="H19" s="50"/>
      <c r="I19" s="50"/>
      <c r="J19" s="50"/>
      <c r="K19" s="50"/>
      <c r="L19" s="50"/>
      <c r="M19" s="50"/>
      <c r="N19" s="50"/>
      <c r="O19" s="50"/>
      <c r="P19" s="50"/>
      <c r="Q19" s="50"/>
      <c r="R19" s="50"/>
      <c r="S19" s="50"/>
      <c r="T19" s="50"/>
      <c r="U19" s="50"/>
      <c r="V19" s="50"/>
      <c r="W19" s="50"/>
      <c r="X19" s="50"/>
      <c r="Y19" s="50"/>
      <c r="Z19" s="50"/>
    </row>
    <row r="20">
      <c r="A20" s="53"/>
      <c r="B20" s="53"/>
      <c r="C20" s="54"/>
      <c r="D20" s="62"/>
      <c r="E20" s="55"/>
      <c r="F20" s="63"/>
      <c r="G20" s="56"/>
      <c r="H20" s="50"/>
      <c r="I20" s="50"/>
      <c r="J20" s="50"/>
      <c r="K20" s="50"/>
      <c r="L20" s="50"/>
      <c r="M20" s="50"/>
      <c r="N20" s="50"/>
      <c r="O20" s="50"/>
      <c r="P20" s="50"/>
      <c r="Q20" s="50"/>
      <c r="R20" s="50"/>
      <c r="S20" s="50"/>
      <c r="T20" s="50"/>
      <c r="U20" s="50"/>
      <c r="V20" s="50"/>
      <c r="W20" s="50"/>
      <c r="X20" s="50"/>
      <c r="Y20" s="50"/>
      <c r="Z20" s="50"/>
    </row>
    <row r="21">
      <c r="A21" s="53"/>
      <c r="B21" s="53"/>
      <c r="C21" s="54"/>
      <c r="D21" s="62"/>
      <c r="E21" s="55"/>
      <c r="F21" s="63"/>
      <c r="G21" s="56"/>
      <c r="H21" s="50"/>
      <c r="I21" s="50"/>
      <c r="J21" s="50"/>
      <c r="K21" s="50"/>
      <c r="L21" s="50"/>
      <c r="M21" s="50"/>
      <c r="N21" s="50"/>
      <c r="O21" s="50"/>
      <c r="P21" s="50"/>
      <c r="Q21" s="50"/>
      <c r="R21" s="50"/>
      <c r="S21" s="50"/>
      <c r="T21" s="50"/>
      <c r="U21" s="50"/>
      <c r="V21" s="50"/>
      <c r="W21" s="50"/>
      <c r="X21" s="50"/>
      <c r="Y21" s="50"/>
      <c r="Z21" s="50"/>
    </row>
    <row r="22">
      <c r="A22" s="53"/>
      <c r="B22" s="53"/>
      <c r="C22" s="54"/>
      <c r="D22" s="62"/>
      <c r="E22" s="55"/>
      <c r="F22" s="63"/>
      <c r="G22" s="56"/>
      <c r="H22" s="50"/>
      <c r="I22" s="50"/>
      <c r="J22" s="50"/>
      <c r="K22" s="50"/>
      <c r="L22" s="50"/>
      <c r="M22" s="50"/>
      <c r="N22" s="50"/>
      <c r="O22" s="50"/>
      <c r="P22" s="50"/>
      <c r="Q22" s="50"/>
      <c r="R22" s="50"/>
      <c r="S22" s="50"/>
      <c r="T22" s="50"/>
      <c r="U22" s="50"/>
      <c r="V22" s="50"/>
      <c r="W22" s="50"/>
      <c r="X22" s="50"/>
      <c r="Y22" s="50"/>
      <c r="Z22" s="50"/>
    </row>
    <row r="23">
      <c r="A23" s="53"/>
      <c r="B23" s="53"/>
      <c r="C23" s="54"/>
      <c r="D23" s="62"/>
      <c r="E23" s="55"/>
      <c r="F23" s="63"/>
      <c r="G23" s="56"/>
      <c r="H23" s="50"/>
      <c r="I23" s="50"/>
      <c r="J23" s="50"/>
      <c r="K23" s="50"/>
      <c r="L23" s="50"/>
      <c r="M23" s="50"/>
      <c r="N23" s="50"/>
      <c r="O23" s="50"/>
      <c r="P23" s="50"/>
      <c r="Q23" s="50"/>
      <c r="R23" s="50"/>
      <c r="S23" s="50"/>
      <c r="T23" s="50"/>
      <c r="U23" s="50"/>
      <c r="V23" s="50"/>
      <c r="W23" s="50"/>
      <c r="X23" s="50"/>
      <c r="Y23" s="50"/>
      <c r="Z23" s="50"/>
    </row>
    <row r="24">
      <c r="A24" s="53"/>
      <c r="B24" s="53"/>
      <c r="C24" s="54"/>
      <c r="D24" s="62"/>
      <c r="E24" s="55"/>
      <c r="F24" s="63"/>
      <c r="G24" s="56"/>
      <c r="H24" s="50"/>
      <c r="I24" s="50"/>
      <c r="J24" s="50"/>
      <c r="K24" s="50"/>
      <c r="L24" s="50"/>
      <c r="M24" s="50"/>
      <c r="N24" s="50"/>
      <c r="O24" s="50"/>
      <c r="P24" s="50"/>
      <c r="Q24" s="50"/>
      <c r="R24" s="50"/>
      <c r="S24" s="50"/>
      <c r="T24" s="50"/>
      <c r="U24" s="50"/>
      <c r="V24" s="50"/>
      <c r="W24" s="50"/>
      <c r="X24" s="50"/>
      <c r="Y24" s="50"/>
      <c r="Z24" s="50"/>
    </row>
    <row r="25">
      <c r="A25" s="53"/>
      <c r="B25" s="53"/>
      <c r="C25" s="54"/>
      <c r="D25" s="62"/>
      <c r="E25" s="55"/>
      <c r="F25" s="63"/>
      <c r="G25" s="56"/>
      <c r="H25" s="50"/>
      <c r="I25" s="50"/>
      <c r="J25" s="50"/>
      <c r="K25" s="50"/>
      <c r="L25" s="50"/>
      <c r="M25" s="50"/>
      <c r="N25" s="50"/>
      <c r="O25" s="50"/>
      <c r="P25" s="50"/>
      <c r="Q25" s="50"/>
      <c r="R25" s="50"/>
      <c r="S25" s="50"/>
      <c r="T25" s="50"/>
      <c r="U25" s="50"/>
      <c r="V25" s="50"/>
      <c r="W25" s="50"/>
      <c r="X25" s="50"/>
      <c r="Y25" s="50"/>
      <c r="Z25" s="50"/>
    </row>
    <row r="26">
      <c r="A26" s="53"/>
      <c r="B26" s="53"/>
      <c r="C26" s="54"/>
      <c r="D26" s="62"/>
      <c r="E26" s="55"/>
      <c r="F26" s="63"/>
      <c r="G26" s="56"/>
      <c r="H26" s="50"/>
      <c r="I26" s="50"/>
      <c r="J26" s="50"/>
      <c r="K26" s="50"/>
      <c r="L26" s="50"/>
      <c r="M26" s="50"/>
      <c r="N26" s="50"/>
      <c r="O26" s="50"/>
      <c r="P26" s="50"/>
      <c r="Q26" s="50"/>
      <c r="R26" s="50"/>
      <c r="S26" s="50"/>
      <c r="T26" s="50"/>
      <c r="U26" s="50"/>
      <c r="V26" s="50"/>
      <c r="W26" s="50"/>
      <c r="X26" s="50"/>
      <c r="Y26" s="50"/>
      <c r="Z26" s="50"/>
    </row>
    <row r="27">
      <c r="A27" s="53"/>
      <c r="B27" s="64"/>
      <c r="C27" s="54"/>
      <c r="D27" s="62"/>
      <c r="E27" s="55"/>
      <c r="F27" s="63"/>
      <c r="G27" s="56"/>
      <c r="H27" s="50"/>
      <c r="I27" s="50"/>
      <c r="J27" s="50"/>
      <c r="K27" s="50"/>
      <c r="L27" s="50"/>
      <c r="M27" s="50"/>
      <c r="N27" s="50"/>
      <c r="O27" s="50"/>
      <c r="P27" s="50"/>
      <c r="Q27" s="50"/>
      <c r="R27" s="50"/>
      <c r="S27" s="50"/>
      <c r="T27" s="50"/>
      <c r="U27" s="50"/>
      <c r="V27" s="50"/>
      <c r="W27" s="50"/>
      <c r="X27" s="50"/>
      <c r="Y27" s="50"/>
      <c r="Z27" s="50"/>
    </row>
    <row r="28">
      <c r="A28" s="53"/>
      <c r="B28" s="53"/>
      <c r="C28" s="54"/>
      <c r="D28" s="62"/>
      <c r="E28" s="55"/>
      <c r="F28" s="63"/>
      <c r="G28" s="56"/>
      <c r="H28" s="50"/>
      <c r="I28" s="50"/>
      <c r="J28" s="50"/>
      <c r="K28" s="50"/>
      <c r="L28" s="50"/>
      <c r="M28" s="50"/>
      <c r="N28" s="50"/>
      <c r="O28" s="50"/>
      <c r="P28" s="50"/>
      <c r="Q28" s="50"/>
      <c r="R28" s="50"/>
      <c r="S28" s="50"/>
      <c r="T28" s="50"/>
      <c r="U28" s="50"/>
      <c r="V28" s="50"/>
      <c r="W28" s="50"/>
      <c r="X28" s="50"/>
      <c r="Y28" s="50"/>
      <c r="Z28" s="50"/>
    </row>
    <row r="29">
      <c r="A29" s="53"/>
      <c r="B29" s="53"/>
      <c r="C29" s="54"/>
      <c r="D29" s="62"/>
      <c r="E29" s="55"/>
      <c r="F29" s="63"/>
      <c r="G29" s="56"/>
      <c r="H29" s="50"/>
      <c r="I29" s="50"/>
      <c r="J29" s="50"/>
      <c r="K29" s="50"/>
      <c r="L29" s="50"/>
      <c r="M29" s="50"/>
      <c r="N29" s="50"/>
      <c r="O29" s="50"/>
      <c r="P29" s="50"/>
      <c r="Q29" s="50"/>
      <c r="R29" s="50"/>
      <c r="S29" s="50"/>
      <c r="T29" s="50"/>
      <c r="U29" s="50"/>
      <c r="V29" s="50"/>
      <c r="W29" s="50"/>
      <c r="X29" s="50"/>
      <c r="Y29" s="50"/>
      <c r="Z29" s="50"/>
    </row>
    <row r="30">
      <c r="A30" s="53"/>
      <c r="B30" s="53"/>
      <c r="C30" s="54"/>
      <c r="D30" s="62"/>
      <c r="E30" s="55"/>
      <c r="F30" s="63"/>
      <c r="G30" s="56"/>
      <c r="H30" s="50"/>
      <c r="I30" s="50"/>
      <c r="J30" s="50"/>
      <c r="K30" s="50"/>
      <c r="L30" s="50"/>
      <c r="M30" s="50"/>
      <c r="N30" s="50"/>
      <c r="O30" s="50"/>
      <c r="P30" s="50"/>
      <c r="Q30" s="50"/>
      <c r="R30" s="50"/>
      <c r="S30" s="50"/>
      <c r="T30" s="50"/>
      <c r="U30" s="50"/>
      <c r="V30" s="50"/>
      <c r="W30" s="50"/>
      <c r="X30" s="50"/>
      <c r="Y30" s="50"/>
      <c r="Z30" s="50"/>
    </row>
    <row r="31">
      <c r="A31" s="53"/>
      <c r="B31" s="53"/>
      <c r="C31" s="54"/>
      <c r="D31" s="62"/>
      <c r="E31" s="55"/>
      <c r="F31" s="63"/>
      <c r="G31" s="56"/>
      <c r="H31" s="50"/>
      <c r="I31" s="50"/>
      <c r="J31" s="50"/>
      <c r="K31" s="50"/>
      <c r="L31" s="50"/>
      <c r="M31" s="50"/>
      <c r="N31" s="50"/>
      <c r="O31" s="50"/>
      <c r="P31" s="50"/>
      <c r="Q31" s="50"/>
      <c r="R31" s="50"/>
      <c r="S31" s="50"/>
      <c r="T31" s="50"/>
      <c r="U31" s="50"/>
      <c r="V31" s="50"/>
      <c r="W31" s="50"/>
      <c r="X31" s="50"/>
      <c r="Y31" s="50"/>
      <c r="Z31" s="50"/>
    </row>
    <row r="32">
      <c r="A32" s="53"/>
      <c r="B32" s="53"/>
      <c r="C32" s="54"/>
      <c r="D32" s="62"/>
      <c r="E32" s="55"/>
      <c r="F32" s="63"/>
      <c r="G32" s="56"/>
      <c r="H32" s="50"/>
      <c r="I32" s="50"/>
      <c r="J32" s="50"/>
      <c r="K32" s="50"/>
      <c r="L32" s="50"/>
      <c r="M32" s="50"/>
      <c r="N32" s="50"/>
      <c r="O32" s="50"/>
      <c r="P32" s="50"/>
      <c r="Q32" s="50"/>
      <c r="R32" s="50"/>
      <c r="S32" s="50"/>
      <c r="T32" s="50"/>
      <c r="U32" s="50"/>
      <c r="V32" s="50"/>
      <c r="W32" s="50"/>
      <c r="X32" s="50"/>
      <c r="Y32" s="50"/>
      <c r="Z32" s="50"/>
    </row>
    <row r="33">
      <c r="A33" s="53"/>
      <c r="B33" s="53"/>
      <c r="C33" s="54"/>
      <c r="D33" s="62"/>
      <c r="E33" s="55"/>
      <c r="F33" s="63"/>
      <c r="G33" s="56"/>
      <c r="H33" s="50"/>
      <c r="I33" s="50"/>
      <c r="J33" s="50"/>
      <c r="K33" s="50"/>
      <c r="L33" s="50"/>
      <c r="M33" s="50"/>
      <c r="N33" s="50"/>
      <c r="O33" s="50"/>
      <c r="P33" s="50"/>
      <c r="Q33" s="50"/>
      <c r="R33" s="50"/>
      <c r="S33" s="50"/>
      <c r="T33" s="50"/>
      <c r="U33" s="50"/>
      <c r="V33" s="50"/>
      <c r="W33" s="50"/>
      <c r="X33" s="50"/>
      <c r="Y33" s="50"/>
      <c r="Z33" s="50"/>
    </row>
    <row r="34" ht="231.75" customHeight="1">
      <c r="A34" s="53"/>
      <c r="B34" s="53"/>
      <c r="C34" s="54"/>
      <c r="D34" s="62"/>
      <c r="E34" s="55"/>
      <c r="F34" s="63"/>
      <c r="G34" s="56"/>
      <c r="H34" s="50"/>
      <c r="I34" s="50"/>
      <c r="J34" s="50"/>
      <c r="K34" s="50"/>
      <c r="L34" s="50"/>
      <c r="M34" s="50"/>
      <c r="N34" s="50"/>
      <c r="O34" s="50"/>
      <c r="P34" s="50"/>
      <c r="Q34" s="50"/>
      <c r="R34" s="50"/>
      <c r="S34" s="50"/>
      <c r="T34" s="50"/>
      <c r="U34" s="50"/>
      <c r="V34" s="50"/>
      <c r="W34" s="50"/>
      <c r="X34" s="50"/>
      <c r="Y34" s="50"/>
      <c r="Z34" s="50"/>
    </row>
    <row r="35">
      <c r="A35" s="53"/>
      <c r="B35" s="53"/>
      <c r="C35" s="54"/>
      <c r="D35" s="62"/>
      <c r="E35" s="55"/>
      <c r="F35" s="63"/>
      <c r="G35" s="56"/>
      <c r="H35" s="50"/>
      <c r="I35" s="50"/>
      <c r="J35" s="50"/>
      <c r="K35" s="50"/>
      <c r="L35" s="50"/>
      <c r="M35" s="50"/>
      <c r="N35" s="50"/>
      <c r="O35" s="50"/>
      <c r="P35" s="50"/>
      <c r="Q35" s="50"/>
      <c r="R35" s="50"/>
      <c r="S35" s="50"/>
      <c r="T35" s="50"/>
      <c r="U35" s="50"/>
      <c r="V35" s="50"/>
      <c r="W35" s="50"/>
      <c r="X35" s="50"/>
      <c r="Y35" s="50"/>
      <c r="Z35" s="50"/>
    </row>
    <row r="36">
      <c r="A36" s="53"/>
      <c r="B36" s="53"/>
      <c r="C36" s="54"/>
      <c r="D36" s="62"/>
      <c r="E36" s="55"/>
      <c r="F36" s="63"/>
      <c r="G36" s="56"/>
      <c r="H36" s="50"/>
      <c r="I36" s="50"/>
      <c r="J36" s="50"/>
      <c r="K36" s="50"/>
      <c r="L36" s="50"/>
      <c r="M36" s="50"/>
      <c r="N36" s="50"/>
      <c r="O36" s="50"/>
      <c r="P36" s="50"/>
      <c r="Q36" s="50"/>
      <c r="R36" s="50"/>
      <c r="S36" s="50"/>
      <c r="T36" s="50"/>
      <c r="U36" s="50"/>
      <c r="V36" s="50"/>
      <c r="W36" s="50"/>
      <c r="X36" s="50"/>
      <c r="Y36" s="50"/>
      <c r="Z36" s="50"/>
    </row>
    <row r="37">
      <c r="A37" s="53"/>
      <c r="B37" s="53"/>
      <c r="C37" s="54"/>
      <c r="D37" s="62"/>
      <c r="E37" s="55"/>
      <c r="F37" s="63"/>
      <c r="G37" s="56"/>
      <c r="H37" s="50"/>
      <c r="I37" s="50"/>
      <c r="J37" s="50"/>
      <c r="K37" s="50"/>
      <c r="L37" s="50"/>
      <c r="M37" s="50"/>
      <c r="N37" s="50"/>
      <c r="O37" s="50"/>
      <c r="P37" s="50"/>
      <c r="Q37" s="50"/>
      <c r="R37" s="50"/>
      <c r="S37" s="50"/>
      <c r="T37" s="50"/>
      <c r="U37" s="50"/>
      <c r="V37" s="50"/>
      <c r="W37" s="50"/>
      <c r="X37" s="50"/>
      <c r="Y37" s="50"/>
      <c r="Z37" s="50"/>
    </row>
    <row r="38">
      <c r="A38" s="53"/>
      <c r="B38" s="53"/>
      <c r="C38" s="54"/>
      <c r="D38" s="62"/>
      <c r="E38" s="55"/>
      <c r="F38" s="63"/>
      <c r="G38" s="56"/>
      <c r="H38" s="50"/>
      <c r="I38" s="50"/>
      <c r="J38" s="50"/>
      <c r="K38" s="50"/>
      <c r="L38" s="50"/>
      <c r="M38" s="50"/>
      <c r="N38" s="50"/>
      <c r="O38" s="50"/>
      <c r="P38" s="50"/>
      <c r="Q38" s="50"/>
      <c r="R38" s="50"/>
      <c r="S38" s="50"/>
      <c r="T38" s="50"/>
      <c r="U38" s="50"/>
      <c r="V38" s="50"/>
      <c r="W38" s="50"/>
      <c r="X38" s="50"/>
      <c r="Y38" s="50"/>
      <c r="Z38" s="50"/>
    </row>
  </sheetData>
  <dataValidations>
    <dataValidation type="list" allowBlank="1" sqref="F3:F9">
      <formula1>"OPEN,BLOCKED,PASSED,FAILED"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2.38"/>
    <col customWidth="1" min="2" max="2" width="61.13"/>
    <col customWidth="1" min="3" max="3" width="50.13"/>
    <col customWidth="1" min="4" max="4" width="48.38"/>
    <col customWidth="1" min="5" max="5" width="56.63"/>
    <col customWidth="1" min="6" max="6" width="21.63"/>
    <col customWidth="1" min="7" max="7" width="22.75"/>
  </cols>
  <sheetData>
    <row r="1">
      <c r="A1" s="47" t="s">
        <v>33</v>
      </c>
      <c r="B1" s="67" t="s">
        <v>305</v>
      </c>
      <c r="C1" s="49"/>
      <c r="D1" s="49"/>
      <c r="E1" s="49"/>
      <c r="F1" s="49"/>
      <c r="G1" s="49"/>
      <c r="H1" s="50"/>
      <c r="I1" s="50"/>
      <c r="J1" s="50"/>
      <c r="K1" s="50"/>
      <c r="L1" s="50"/>
      <c r="M1" s="50"/>
      <c r="N1" s="50"/>
      <c r="O1" s="50"/>
      <c r="P1" s="50"/>
      <c r="Q1" s="50"/>
      <c r="R1" s="50"/>
      <c r="S1" s="50"/>
      <c r="T1" s="50"/>
      <c r="U1" s="50"/>
      <c r="V1" s="50"/>
      <c r="W1" s="50"/>
      <c r="X1" s="50"/>
      <c r="Y1" s="50"/>
      <c r="Z1" s="50"/>
    </row>
    <row r="2">
      <c r="A2" s="51" t="s">
        <v>14</v>
      </c>
      <c r="B2" s="51" t="s">
        <v>16</v>
      </c>
      <c r="C2" s="52" t="s">
        <v>18</v>
      </c>
      <c r="D2" s="52" t="s">
        <v>20</v>
      </c>
      <c r="E2" s="52" t="s">
        <v>219</v>
      </c>
      <c r="F2" s="52" t="s">
        <v>24</v>
      </c>
      <c r="G2" s="52" t="s">
        <v>26</v>
      </c>
      <c r="H2" s="50"/>
      <c r="I2" s="50"/>
      <c r="J2" s="50"/>
      <c r="K2" s="50"/>
      <c r="L2" s="50"/>
      <c r="M2" s="50"/>
      <c r="N2" s="50"/>
      <c r="O2" s="50"/>
      <c r="P2" s="50"/>
      <c r="Q2" s="50"/>
      <c r="R2" s="50"/>
      <c r="S2" s="50"/>
      <c r="T2" s="50"/>
      <c r="U2" s="50"/>
      <c r="V2" s="50"/>
      <c r="W2" s="50"/>
      <c r="X2" s="50"/>
      <c r="Y2" s="50"/>
      <c r="Z2" s="50"/>
    </row>
    <row r="3">
      <c r="A3" s="53" t="str">
        <f>IF(B3&lt;&gt;"", "US-4-TC-" &amp; TEXT(COUNTA($B3:B$3), "00"), "")
</f>
        <v>US-4-TC-01</v>
      </c>
      <c r="B3" s="53" t="s">
        <v>306</v>
      </c>
      <c r="C3" s="54" t="s">
        <v>307</v>
      </c>
      <c r="D3" s="54" t="s">
        <v>308</v>
      </c>
      <c r="E3" s="70" t="s">
        <v>309</v>
      </c>
      <c r="F3" s="55" t="s">
        <v>53</v>
      </c>
      <c r="G3" s="55" t="s">
        <v>310</v>
      </c>
      <c r="H3" s="50"/>
      <c r="I3" s="50"/>
      <c r="J3" s="50"/>
      <c r="K3" s="50"/>
      <c r="L3" s="50"/>
      <c r="M3" s="50"/>
      <c r="N3" s="50"/>
      <c r="O3" s="50"/>
      <c r="P3" s="50"/>
      <c r="Q3" s="50"/>
      <c r="R3" s="50"/>
      <c r="S3" s="50"/>
      <c r="T3" s="50"/>
      <c r="U3" s="50"/>
      <c r="V3" s="50"/>
      <c r="W3" s="50"/>
      <c r="X3" s="50"/>
      <c r="Y3" s="50"/>
      <c r="Z3" s="50"/>
    </row>
    <row r="4">
      <c r="A4" s="53" t="str">
        <f t="shared" ref="A4:A11" si="1">IF(B4&lt;&gt;"", "US-4-TC-" &amp; TEXT(COUNTA($B$3:B4), "00"), "")
</f>
        <v>US-4-TC-02</v>
      </c>
      <c r="B4" s="53" t="s">
        <v>311</v>
      </c>
      <c r="C4" s="54" t="s">
        <v>307</v>
      </c>
      <c r="D4" s="54" t="s">
        <v>312</v>
      </c>
      <c r="E4" s="55" t="s">
        <v>313</v>
      </c>
      <c r="F4" s="55" t="s">
        <v>53</v>
      </c>
      <c r="G4" s="55"/>
      <c r="H4" s="50"/>
      <c r="I4" s="50"/>
      <c r="J4" s="50"/>
      <c r="K4" s="50"/>
      <c r="L4" s="50"/>
      <c r="M4" s="50"/>
      <c r="N4" s="50"/>
      <c r="O4" s="50"/>
      <c r="P4" s="50"/>
      <c r="Q4" s="50"/>
      <c r="R4" s="50"/>
      <c r="S4" s="50"/>
      <c r="T4" s="50"/>
      <c r="U4" s="50"/>
      <c r="V4" s="50"/>
      <c r="W4" s="50"/>
      <c r="X4" s="50"/>
      <c r="Y4" s="50"/>
      <c r="Z4" s="50"/>
    </row>
    <row r="5">
      <c r="A5" s="53" t="str">
        <f t="shared" si="1"/>
        <v>US-4-TC-03</v>
      </c>
      <c r="B5" s="53" t="s">
        <v>314</v>
      </c>
      <c r="C5" s="54" t="s">
        <v>307</v>
      </c>
      <c r="D5" s="54" t="s">
        <v>315</v>
      </c>
      <c r="E5" s="55" t="s">
        <v>313</v>
      </c>
      <c r="F5" s="55" t="s">
        <v>53</v>
      </c>
      <c r="G5" s="55"/>
      <c r="H5" s="50"/>
      <c r="I5" s="50"/>
      <c r="J5" s="50"/>
      <c r="K5" s="50"/>
      <c r="L5" s="50"/>
      <c r="M5" s="50"/>
      <c r="N5" s="50"/>
      <c r="O5" s="50"/>
      <c r="P5" s="50"/>
      <c r="Q5" s="50"/>
      <c r="R5" s="50"/>
      <c r="S5" s="50"/>
      <c r="T5" s="50"/>
      <c r="U5" s="50"/>
      <c r="V5" s="50"/>
      <c r="W5" s="50"/>
      <c r="X5" s="50"/>
      <c r="Y5" s="50"/>
      <c r="Z5" s="50"/>
    </row>
    <row r="6">
      <c r="A6" s="53" t="str">
        <f t="shared" si="1"/>
        <v>US-4-TC-04</v>
      </c>
      <c r="B6" s="53" t="s">
        <v>316</v>
      </c>
      <c r="C6" s="54" t="s">
        <v>307</v>
      </c>
      <c r="D6" s="54" t="s">
        <v>317</v>
      </c>
      <c r="E6" s="55" t="s">
        <v>313</v>
      </c>
      <c r="F6" s="55" t="s">
        <v>53</v>
      </c>
      <c r="G6" s="55"/>
      <c r="H6" s="50"/>
      <c r="I6" s="50"/>
      <c r="J6" s="50"/>
      <c r="K6" s="50"/>
      <c r="L6" s="50"/>
      <c r="M6" s="50"/>
      <c r="N6" s="50"/>
      <c r="O6" s="50"/>
      <c r="P6" s="50"/>
      <c r="Q6" s="50"/>
      <c r="R6" s="50"/>
      <c r="S6" s="50"/>
      <c r="T6" s="50"/>
      <c r="U6" s="50"/>
      <c r="V6" s="50"/>
      <c r="W6" s="50"/>
      <c r="X6" s="50"/>
      <c r="Y6" s="50"/>
      <c r="Z6" s="50"/>
    </row>
    <row r="7">
      <c r="A7" s="53" t="str">
        <f t="shared" si="1"/>
        <v>US-4-TC-05</v>
      </c>
      <c r="B7" s="53" t="s">
        <v>318</v>
      </c>
      <c r="C7" s="54" t="s">
        <v>307</v>
      </c>
      <c r="D7" s="54" t="s">
        <v>319</v>
      </c>
      <c r="E7" s="55" t="s">
        <v>313</v>
      </c>
      <c r="F7" s="55" t="s">
        <v>53</v>
      </c>
      <c r="G7" s="55"/>
      <c r="H7" s="50"/>
      <c r="I7" s="50"/>
      <c r="J7" s="50"/>
      <c r="K7" s="50"/>
      <c r="L7" s="50"/>
      <c r="M7" s="50"/>
      <c r="N7" s="50"/>
      <c r="O7" s="50"/>
      <c r="P7" s="50"/>
      <c r="Q7" s="50"/>
      <c r="R7" s="50"/>
      <c r="S7" s="50"/>
      <c r="T7" s="50"/>
      <c r="U7" s="50"/>
      <c r="V7" s="50"/>
      <c r="W7" s="50"/>
      <c r="X7" s="50"/>
      <c r="Y7" s="50"/>
      <c r="Z7" s="50"/>
    </row>
    <row r="8">
      <c r="A8" s="53" t="str">
        <f t="shared" si="1"/>
        <v>US-4-TC-06</v>
      </c>
      <c r="B8" s="53" t="s">
        <v>320</v>
      </c>
      <c r="C8" s="54" t="s">
        <v>307</v>
      </c>
      <c r="D8" s="54" t="s">
        <v>321</v>
      </c>
      <c r="E8" s="55" t="s">
        <v>313</v>
      </c>
      <c r="F8" s="55" t="s">
        <v>53</v>
      </c>
      <c r="G8" s="55" t="s">
        <v>67</v>
      </c>
      <c r="H8" s="50"/>
      <c r="I8" s="50"/>
      <c r="J8" s="50"/>
      <c r="K8" s="50"/>
      <c r="L8" s="50"/>
      <c r="M8" s="50"/>
      <c r="N8" s="50"/>
      <c r="O8" s="50"/>
      <c r="P8" s="50"/>
      <c r="Q8" s="50"/>
      <c r="R8" s="50"/>
      <c r="S8" s="50"/>
      <c r="T8" s="50"/>
      <c r="U8" s="50"/>
      <c r="V8" s="50"/>
      <c r="W8" s="50"/>
      <c r="X8" s="50"/>
      <c r="Y8" s="50"/>
      <c r="Z8" s="50"/>
    </row>
    <row r="9">
      <c r="A9" s="53" t="str">
        <f t="shared" si="1"/>
        <v>US-4-TC-07</v>
      </c>
      <c r="B9" s="53" t="s">
        <v>322</v>
      </c>
      <c r="C9" s="54" t="s">
        <v>307</v>
      </c>
      <c r="D9" s="54" t="s">
        <v>323</v>
      </c>
      <c r="E9" s="55" t="s">
        <v>313</v>
      </c>
      <c r="F9" s="55" t="s">
        <v>53</v>
      </c>
      <c r="G9" s="55"/>
      <c r="H9" s="50"/>
      <c r="I9" s="50"/>
      <c r="J9" s="50"/>
      <c r="K9" s="50"/>
      <c r="L9" s="50"/>
      <c r="M9" s="50"/>
      <c r="N9" s="50"/>
      <c r="O9" s="50"/>
      <c r="P9" s="50"/>
      <c r="Q9" s="50"/>
      <c r="R9" s="50"/>
      <c r="S9" s="50"/>
      <c r="T9" s="50"/>
      <c r="U9" s="50"/>
      <c r="V9" s="50"/>
      <c r="W9" s="50"/>
      <c r="X9" s="50"/>
      <c r="Y9" s="50"/>
      <c r="Z9" s="50"/>
    </row>
    <row r="10">
      <c r="A10" s="53" t="str">
        <f t="shared" si="1"/>
        <v>US-4-TC-08</v>
      </c>
      <c r="B10" s="53" t="s">
        <v>324</v>
      </c>
      <c r="C10" s="54" t="s">
        <v>307</v>
      </c>
      <c r="D10" s="54" t="s">
        <v>325</v>
      </c>
      <c r="E10" s="55" t="s">
        <v>313</v>
      </c>
      <c r="F10" s="55" t="s">
        <v>53</v>
      </c>
      <c r="G10" s="55"/>
      <c r="H10" s="50"/>
      <c r="I10" s="50"/>
      <c r="J10" s="50"/>
      <c r="K10" s="50"/>
      <c r="L10" s="50"/>
      <c r="M10" s="50"/>
      <c r="N10" s="50"/>
      <c r="O10" s="50"/>
      <c r="P10" s="50"/>
      <c r="Q10" s="50"/>
      <c r="R10" s="50"/>
      <c r="S10" s="50"/>
      <c r="T10" s="50"/>
      <c r="U10" s="50"/>
      <c r="V10" s="50"/>
      <c r="W10" s="50"/>
      <c r="X10" s="50"/>
      <c r="Y10" s="50"/>
      <c r="Z10" s="50"/>
    </row>
    <row r="11">
      <c r="A11" s="53" t="str">
        <f t="shared" si="1"/>
        <v>US-4-TC-09</v>
      </c>
      <c r="B11" s="53" t="s">
        <v>326</v>
      </c>
      <c r="C11" s="54" t="s">
        <v>307</v>
      </c>
      <c r="D11" s="54" t="s">
        <v>327</v>
      </c>
      <c r="E11" s="55" t="s">
        <v>328</v>
      </c>
      <c r="F11" s="55" t="s">
        <v>53</v>
      </c>
      <c r="G11" s="56"/>
      <c r="H11" s="50"/>
      <c r="I11" s="50"/>
      <c r="J11" s="50"/>
      <c r="K11" s="50"/>
      <c r="L11" s="50"/>
      <c r="M11" s="50"/>
      <c r="N11" s="50"/>
      <c r="O11" s="50"/>
      <c r="P11" s="50"/>
      <c r="Q11" s="50"/>
      <c r="R11" s="50"/>
      <c r="S11" s="50"/>
      <c r="T11" s="50"/>
      <c r="U11" s="50"/>
      <c r="V11" s="50"/>
      <c r="W11" s="50"/>
      <c r="X11" s="50"/>
      <c r="Y11" s="50"/>
      <c r="Z11" s="50"/>
    </row>
    <row r="12">
      <c r="A12" s="53"/>
      <c r="B12" s="65"/>
      <c r="C12" s="54"/>
      <c r="D12" s="54"/>
      <c r="E12" s="55"/>
      <c r="F12" s="55"/>
      <c r="G12" s="55"/>
      <c r="H12" s="50"/>
      <c r="I12" s="50"/>
      <c r="J12" s="50"/>
      <c r="K12" s="50"/>
      <c r="L12" s="50"/>
      <c r="M12" s="50"/>
      <c r="N12" s="50"/>
      <c r="O12" s="50"/>
      <c r="P12" s="50"/>
      <c r="Q12" s="50"/>
      <c r="R12" s="50"/>
      <c r="S12" s="50"/>
      <c r="T12" s="50"/>
      <c r="U12" s="50"/>
      <c r="V12" s="50"/>
      <c r="W12" s="50"/>
      <c r="X12" s="50"/>
      <c r="Y12" s="50"/>
      <c r="Z12" s="50"/>
    </row>
    <row r="13">
      <c r="A13" s="53"/>
      <c r="B13" s="65"/>
      <c r="C13" s="54"/>
      <c r="D13" s="54"/>
      <c r="E13" s="55"/>
      <c r="F13" s="55"/>
      <c r="G13" s="55"/>
      <c r="H13" s="50"/>
      <c r="I13" s="50"/>
      <c r="J13" s="50"/>
      <c r="K13" s="50"/>
      <c r="L13" s="50"/>
      <c r="M13" s="50"/>
      <c r="N13" s="50"/>
      <c r="O13" s="50"/>
      <c r="P13" s="50"/>
      <c r="Q13" s="50"/>
      <c r="R13" s="50"/>
      <c r="S13" s="50"/>
      <c r="T13" s="50"/>
      <c r="U13" s="50"/>
      <c r="V13" s="50"/>
      <c r="W13" s="50"/>
      <c r="X13" s="50"/>
      <c r="Y13" s="50"/>
      <c r="Z13" s="50"/>
    </row>
    <row r="14">
      <c r="A14" s="53"/>
      <c r="B14" s="66"/>
      <c r="C14" s="54"/>
      <c r="D14" s="54"/>
      <c r="E14" s="55"/>
      <c r="F14" s="55"/>
      <c r="G14" s="55"/>
      <c r="H14" s="50"/>
      <c r="I14" s="50"/>
      <c r="J14" s="50"/>
      <c r="K14" s="50"/>
      <c r="L14" s="50"/>
      <c r="M14" s="50"/>
      <c r="N14" s="50"/>
      <c r="O14" s="50"/>
      <c r="P14" s="50"/>
      <c r="Q14" s="50"/>
      <c r="R14" s="50"/>
      <c r="S14" s="50"/>
      <c r="T14" s="50"/>
      <c r="U14" s="50"/>
      <c r="V14" s="50"/>
      <c r="W14" s="50"/>
      <c r="X14" s="50"/>
      <c r="Y14" s="50"/>
      <c r="Z14" s="50"/>
    </row>
    <row r="15">
      <c r="A15" s="53"/>
      <c r="B15" s="65"/>
      <c r="C15" s="54"/>
      <c r="D15" s="54"/>
      <c r="E15" s="55"/>
      <c r="F15" s="55"/>
      <c r="G15" s="55"/>
      <c r="H15" s="50"/>
      <c r="I15" s="50"/>
      <c r="J15" s="50"/>
      <c r="K15" s="50"/>
      <c r="L15" s="50"/>
      <c r="M15" s="50"/>
      <c r="N15" s="50"/>
      <c r="O15" s="50"/>
      <c r="P15" s="50"/>
      <c r="Q15" s="50"/>
      <c r="R15" s="50"/>
      <c r="S15" s="50"/>
      <c r="T15" s="50"/>
      <c r="U15" s="50"/>
      <c r="V15" s="50"/>
      <c r="W15" s="50"/>
      <c r="X15" s="50"/>
      <c r="Y15" s="50"/>
      <c r="Z15" s="50"/>
    </row>
    <row r="16">
      <c r="A16" s="53"/>
      <c r="B16" s="65"/>
      <c r="C16" s="54"/>
      <c r="D16" s="54"/>
      <c r="E16" s="55"/>
      <c r="F16" s="55"/>
      <c r="G16" s="55"/>
      <c r="H16" s="50"/>
      <c r="I16" s="50"/>
      <c r="J16" s="50"/>
      <c r="K16" s="50"/>
      <c r="L16" s="50"/>
      <c r="M16" s="50"/>
      <c r="N16" s="50"/>
      <c r="O16" s="50"/>
      <c r="P16" s="50"/>
      <c r="Q16" s="50"/>
      <c r="R16" s="50"/>
      <c r="S16" s="50"/>
      <c r="T16" s="50"/>
      <c r="U16" s="50"/>
      <c r="V16" s="50"/>
      <c r="W16" s="50"/>
      <c r="X16" s="50"/>
      <c r="Y16" s="50"/>
      <c r="Z16" s="50"/>
    </row>
    <row r="17">
      <c r="A17" s="53"/>
      <c r="B17" s="53"/>
      <c r="C17" s="54"/>
      <c r="D17" s="54"/>
      <c r="E17" s="55"/>
      <c r="F17" s="55"/>
      <c r="G17" s="56"/>
      <c r="H17" s="50"/>
      <c r="I17" s="50"/>
      <c r="J17" s="50"/>
      <c r="K17" s="50"/>
      <c r="L17" s="50"/>
      <c r="M17" s="50"/>
      <c r="N17" s="50"/>
      <c r="O17" s="50"/>
      <c r="P17" s="50"/>
      <c r="Q17" s="50"/>
      <c r="R17" s="50"/>
      <c r="S17" s="50"/>
      <c r="T17" s="50"/>
      <c r="U17" s="50"/>
      <c r="V17" s="50"/>
      <c r="W17" s="50"/>
      <c r="X17" s="50"/>
      <c r="Y17" s="50"/>
      <c r="Z17" s="50"/>
    </row>
    <row r="18">
      <c r="A18" s="53"/>
      <c r="B18" s="53"/>
      <c r="C18" s="54"/>
      <c r="D18" s="54"/>
      <c r="E18" s="55"/>
      <c r="F18" s="55"/>
      <c r="G18" s="56"/>
      <c r="H18" s="50"/>
      <c r="I18" s="50"/>
      <c r="J18" s="50"/>
      <c r="K18" s="50"/>
      <c r="L18" s="50"/>
      <c r="M18" s="50"/>
      <c r="N18" s="50"/>
      <c r="O18" s="50"/>
      <c r="P18" s="50"/>
      <c r="Q18" s="50"/>
      <c r="R18" s="50"/>
      <c r="S18" s="50"/>
      <c r="T18" s="50"/>
      <c r="U18" s="50"/>
      <c r="V18" s="50"/>
      <c r="W18" s="50"/>
      <c r="X18" s="50"/>
      <c r="Y18" s="50"/>
      <c r="Z18" s="50"/>
    </row>
    <row r="19">
      <c r="A19" s="68"/>
      <c r="B19" s="68"/>
      <c r="C19" s="68"/>
      <c r="D19" s="68"/>
      <c r="E19" s="68"/>
      <c r="F19" s="68"/>
      <c r="G19" s="68"/>
      <c r="H19" s="50"/>
      <c r="I19" s="50"/>
      <c r="J19" s="50"/>
      <c r="K19" s="50"/>
      <c r="L19" s="50"/>
      <c r="M19" s="50"/>
      <c r="N19" s="50"/>
      <c r="O19" s="50"/>
      <c r="P19" s="50"/>
      <c r="Q19" s="50"/>
      <c r="R19" s="50"/>
      <c r="S19" s="50"/>
      <c r="T19" s="50"/>
      <c r="U19" s="50"/>
      <c r="V19" s="50"/>
      <c r="W19" s="50"/>
      <c r="X19" s="50"/>
      <c r="Y19" s="50"/>
      <c r="Z19" s="50"/>
    </row>
    <row r="20">
      <c r="A20" s="53"/>
      <c r="B20" s="53"/>
      <c r="C20" s="54"/>
      <c r="D20" s="62"/>
      <c r="E20" s="55"/>
      <c r="F20" s="63"/>
      <c r="G20" s="56"/>
      <c r="H20" s="50"/>
      <c r="I20" s="50"/>
      <c r="J20" s="50"/>
      <c r="K20" s="50"/>
      <c r="L20" s="50"/>
      <c r="M20" s="50"/>
      <c r="N20" s="50"/>
      <c r="O20" s="50"/>
      <c r="P20" s="50"/>
      <c r="Q20" s="50"/>
      <c r="R20" s="50"/>
      <c r="S20" s="50"/>
      <c r="T20" s="50"/>
      <c r="U20" s="50"/>
      <c r="V20" s="50"/>
      <c r="W20" s="50"/>
      <c r="X20" s="50"/>
      <c r="Y20" s="50"/>
      <c r="Z20" s="50"/>
    </row>
    <row r="21">
      <c r="A21" s="53"/>
      <c r="B21" s="53"/>
      <c r="C21" s="54"/>
      <c r="D21" s="62"/>
      <c r="E21" s="55"/>
      <c r="F21" s="63"/>
      <c r="G21" s="56"/>
      <c r="H21" s="50"/>
      <c r="I21" s="50"/>
      <c r="J21" s="50"/>
      <c r="K21" s="50"/>
      <c r="L21" s="50"/>
      <c r="M21" s="50"/>
      <c r="N21" s="50"/>
      <c r="O21" s="50"/>
      <c r="P21" s="50"/>
      <c r="Q21" s="50"/>
      <c r="R21" s="50"/>
      <c r="S21" s="50"/>
      <c r="T21" s="50"/>
      <c r="U21" s="50"/>
      <c r="V21" s="50"/>
      <c r="W21" s="50"/>
      <c r="X21" s="50"/>
      <c r="Y21" s="50"/>
      <c r="Z21" s="50"/>
    </row>
    <row r="22">
      <c r="A22" s="53"/>
      <c r="B22" s="53"/>
      <c r="C22" s="54"/>
      <c r="D22" s="62"/>
      <c r="E22" s="55"/>
      <c r="F22" s="63"/>
      <c r="G22" s="56"/>
      <c r="H22" s="50"/>
      <c r="I22" s="50"/>
      <c r="J22" s="50"/>
      <c r="K22" s="50"/>
      <c r="L22" s="50"/>
      <c r="M22" s="50"/>
      <c r="N22" s="50"/>
      <c r="O22" s="50"/>
      <c r="P22" s="50"/>
      <c r="Q22" s="50"/>
      <c r="R22" s="50"/>
      <c r="S22" s="50"/>
      <c r="T22" s="50"/>
      <c r="U22" s="50"/>
      <c r="V22" s="50"/>
      <c r="W22" s="50"/>
      <c r="X22" s="50"/>
      <c r="Y22" s="50"/>
      <c r="Z22" s="50"/>
    </row>
    <row r="23">
      <c r="A23" s="53"/>
      <c r="B23" s="53"/>
      <c r="C23" s="54"/>
      <c r="D23" s="62"/>
      <c r="E23" s="55"/>
      <c r="F23" s="63"/>
      <c r="G23" s="56"/>
      <c r="H23" s="50"/>
      <c r="I23" s="50"/>
      <c r="J23" s="50"/>
      <c r="K23" s="50"/>
      <c r="L23" s="50"/>
      <c r="M23" s="50"/>
      <c r="N23" s="50"/>
      <c r="O23" s="50"/>
      <c r="P23" s="50"/>
      <c r="Q23" s="50"/>
      <c r="R23" s="50"/>
      <c r="S23" s="50"/>
      <c r="T23" s="50"/>
      <c r="U23" s="50"/>
      <c r="V23" s="50"/>
      <c r="W23" s="50"/>
      <c r="X23" s="50"/>
      <c r="Y23" s="50"/>
      <c r="Z23" s="50"/>
    </row>
    <row r="24">
      <c r="A24" s="53"/>
      <c r="B24" s="53"/>
      <c r="C24" s="54"/>
      <c r="D24" s="62"/>
      <c r="E24" s="55"/>
      <c r="F24" s="63"/>
      <c r="G24" s="56"/>
      <c r="H24" s="50"/>
      <c r="I24" s="50"/>
      <c r="J24" s="50"/>
      <c r="K24" s="50"/>
      <c r="L24" s="50"/>
      <c r="M24" s="50"/>
      <c r="N24" s="50"/>
      <c r="O24" s="50"/>
      <c r="P24" s="50"/>
      <c r="Q24" s="50"/>
      <c r="R24" s="50"/>
      <c r="S24" s="50"/>
      <c r="T24" s="50"/>
      <c r="U24" s="50"/>
      <c r="V24" s="50"/>
      <c r="W24" s="50"/>
      <c r="X24" s="50"/>
      <c r="Y24" s="50"/>
      <c r="Z24" s="50"/>
    </row>
    <row r="25">
      <c r="A25" s="53"/>
      <c r="B25" s="53"/>
      <c r="C25" s="54"/>
      <c r="D25" s="62"/>
      <c r="E25" s="55"/>
      <c r="F25" s="63"/>
      <c r="G25" s="56"/>
      <c r="H25" s="50"/>
      <c r="I25" s="50"/>
      <c r="J25" s="50"/>
      <c r="K25" s="50"/>
      <c r="L25" s="50"/>
      <c r="M25" s="50"/>
      <c r="N25" s="50"/>
      <c r="O25" s="50"/>
      <c r="P25" s="50"/>
      <c r="Q25" s="50"/>
      <c r="R25" s="50"/>
      <c r="S25" s="50"/>
      <c r="T25" s="50"/>
      <c r="U25" s="50"/>
      <c r="V25" s="50"/>
      <c r="W25" s="50"/>
      <c r="X25" s="50"/>
      <c r="Y25" s="50"/>
      <c r="Z25" s="50"/>
    </row>
    <row r="26">
      <c r="A26" s="53"/>
      <c r="B26" s="53"/>
      <c r="C26" s="54"/>
      <c r="D26" s="62"/>
      <c r="E26" s="55"/>
      <c r="F26" s="63"/>
      <c r="G26" s="56"/>
      <c r="H26" s="50"/>
      <c r="I26" s="50"/>
      <c r="J26" s="50"/>
      <c r="K26" s="50"/>
      <c r="L26" s="50"/>
      <c r="M26" s="50"/>
      <c r="N26" s="50"/>
      <c r="O26" s="50"/>
      <c r="P26" s="50"/>
      <c r="Q26" s="50"/>
      <c r="R26" s="50"/>
      <c r="S26" s="50"/>
      <c r="T26" s="50"/>
      <c r="U26" s="50"/>
      <c r="V26" s="50"/>
      <c r="W26" s="50"/>
      <c r="X26" s="50"/>
      <c r="Y26" s="50"/>
      <c r="Z26" s="50"/>
    </row>
    <row r="27">
      <c r="A27" s="53"/>
      <c r="B27" s="64"/>
      <c r="C27" s="54"/>
      <c r="D27" s="62"/>
      <c r="E27" s="55"/>
      <c r="F27" s="63"/>
      <c r="G27" s="56"/>
      <c r="H27" s="50"/>
      <c r="I27" s="50"/>
      <c r="J27" s="50"/>
      <c r="K27" s="50"/>
      <c r="L27" s="50"/>
      <c r="M27" s="50"/>
      <c r="N27" s="50"/>
      <c r="O27" s="50"/>
      <c r="P27" s="50"/>
      <c r="Q27" s="50"/>
      <c r="R27" s="50"/>
      <c r="S27" s="50"/>
      <c r="T27" s="50"/>
      <c r="U27" s="50"/>
      <c r="V27" s="50"/>
      <c r="W27" s="50"/>
      <c r="X27" s="50"/>
      <c r="Y27" s="50"/>
      <c r="Z27" s="50"/>
    </row>
    <row r="28">
      <c r="A28" s="53"/>
      <c r="B28" s="53"/>
      <c r="C28" s="54"/>
      <c r="D28" s="62"/>
      <c r="E28" s="55"/>
      <c r="F28" s="63"/>
      <c r="G28" s="56"/>
      <c r="H28" s="50"/>
      <c r="I28" s="50"/>
      <c r="J28" s="50"/>
      <c r="K28" s="50"/>
      <c r="L28" s="50"/>
      <c r="M28" s="50"/>
      <c r="N28" s="50"/>
      <c r="O28" s="50"/>
      <c r="P28" s="50"/>
      <c r="Q28" s="50"/>
      <c r="R28" s="50"/>
      <c r="S28" s="50"/>
      <c r="T28" s="50"/>
      <c r="U28" s="50"/>
      <c r="V28" s="50"/>
      <c r="W28" s="50"/>
      <c r="X28" s="50"/>
      <c r="Y28" s="50"/>
      <c r="Z28" s="50"/>
    </row>
    <row r="29">
      <c r="A29" s="53"/>
      <c r="B29" s="53"/>
      <c r="C29" s="54"/>
      <c r="D29" s="62"/>
      <c r="E29" s="55"/>
      <c r="F29" s="63"/>
      <c r="G29" s="56"/>
      <c r="H29" s="50"/>
      <c r="I29" s="50"/>
      <c r="J29" s="50"/>
      <c r="K29" s="50"/>
      <c r="L29" s="50"/>
      <c r="M29" s="50"/>
      <c r="N29" s="50"/>
      <c r="O29" s="50"/>
      <c r="P29" s="50"/>
      <c r="Q29" s="50"/>
      <c r="R29" s="50"/>
      <c r="S29" s="50"/>
      <c r="T29" s="50"/>
      <c r="U29" s="50"/>
      <c r="V29" s="50"/>
      <c r="W29" s="50"/>
      <c r="X29" s="50"/>
      <c r="Y29" s="50"/>
      <c r="Z29" s="50"/>
    </row>
    <row r="30">
      <c r="A30" s="53"/>
      <c r="B30" s="53"/>
      <c r="C30" s="54"/>
      <c r="D30" s="62"/>
      <c r="E30" s="55"/>
      <c r="F30" s="63"/>
      <c r="G30" s="56"/>
      <c r="H30" s="50"/>
      <c r="I30" s="50"/>
      <c r="J30" s="50"/>
      <c r="K30" s="50"/>
      <c r="L30" s="50"/>
      <c r="M30" s="50"/>
      <c r="N30" s="50"/>
      <c r="O30" s="50"/>
      <c r="P30" s="50"/>
      <c r="Q30" s="50"/>
      <c r="R30" s="50"/>
      <c r="S30" s="50"/>
      <c r="T30" s="50"/>
      <c r="U30" s="50"/>
      <c r="V30" s="50"/>
      <c r="W30" s="50"/>
      <c r="X30" s="50"/>
      <c r="Y30" s="50"/>
      <c r="Z30" s="50"/>
    </row>
    <row r="31">
      <c r="A31" s="53"/>
      <c r="B31" s="53"/>
      <c r="C31" s="54"/>
      <c r="D31" s="62"/>
      <c r="E31" s="55"/>
      <c r="F31" s="63"/>
      <c r="G31" s="56"/>
      <c r="H31" s="50"/>
      <c r="I31" s="50"/>
      <c r="J31" s="50"/>
      <c r="K31" s="50"/>
      <c r="L31" s="50"/>
      <c r="M31" s="50"/>
      <c r="N31" s="50"/>
      <c r="O31" s="50"/>
      <c r="P31" s="50"/>
      <c r="Q31" s="50"/>
      <c r="R31" s="50"/>
      <c r="S31" s="50"/>
      <c r="T31" s="50"/>
      <c r="U31" s="50"/>
      <c r="V31" s="50"/>
      <c r="W31" s="50"/>
      <c r="X31" s="50"/>
      <c r="Y31" s="50"/>
      <c r="Z31" s="50"/>
    </row>
    <row r="32">
      <c r="A32" s="53"/>
      <c r="B32" s="53"/>
      <c r="C32" s="54"/>
      <c r="D32" s="62"/>
      <c r="E32" s="55"/>
      <c r="F32" s="63"/>
      <c r="G32" s="56"/>
      <c r="H32" s="50"/>
      <c r="I32" s="50"/>
      <c r="J32" s="50"/>
      <c r="K32" s="50"/>
      <c r="L32" s="50"/>
      <c r="M32" s="50"/>
      <c r="N32" s="50"/>
      <c r="O32" s="50"/>
      <c r="P32" s="50"/>
      <c r="Q32" s="50"/>
      <c r="R32" s="50"/>
      <c r="S32" s="50"/>
      <c r="T32" s="50"/>
      <c r="U32" s="50"/>
      <c r="V32" s="50"/>
      <c r="W32" s="50"/>
      <c r="X32" s="50"/>
      <c r="Y32" s="50"/>
      <c r="Z32" s="50"/>
    </row>
    <row r="33">
      <c r="A33" s="53"/>
      <c r="B33" s="53"/>
      <c r="C33" s="54"/>
      <c r="D33" s="62"/>
      <c r="E33" s="55"/>
      <c r="F33" s="63"/>
      <c r="G33" s="56"/>
      <c r="H33" s="50"/>
      <c r="I33" s="50"/>
      <c r="J33" s="50"/>
      <c r="K33" s="50"/>
      <c r="L33" s="50"/>
      <c r="M33" s="50"/>
      <c r="N33" s="50"/>
      <c r="O33" s="50"/>
      <c r="P33" s="50"/>
      <c r="Q33" s="50"/>
      <c r="R33" s="50"/>
      <c r="S33" s="50"/>
      <c r="T33" s="50"/>
      <c r="U33" s="50"/>
      <c r="V33" s="50"/>
      <c r="W33" s="50"/>
      <c r="X33" s="50"/>
      <c r="Y33" s="50"/>
      <c r="Z33" s="50"/>
    </row>
    <row r="34" ht="231.75" customHeight="1">
      <c r="A34" s="53"/>
      <c r="B34" s="53"/>
      <c r="C34" s="54"/>
      <c r="D34" s="62"/>
      <c r="E34" s="55"/>
      <c r="F34" s="63"/>
      <c r="G34" s="56"/>
      <c r="H34" s="50"/>
      <c r="I34" s="50"/>
      <c r="J34" s="50"/>
      <c r="K34" s="50"/>
      <c r="L34" s="50"/>
      <c r="M34" s="50"/>
      <c r="N34" s="50"/>
      <c r="O34" s="50"/>
      <c r="P34" s="50"/>
      <c r="Q34" s="50"/>
      <c r="R34" s="50"/>
      <c r="S34" s="50"/>
      <c r="T34" s="50"/>
      <c r="U34" s="50"/>
      <c r="V34" s="50"/>
      <c r="W34" s="50"/>
      <c r="X34" s="50"/>
      <c r="Y34" s="50"/>
      <c r="Z34" s="50"/>
    </row>
    <row r="35">
      <c r="A35" s="53"/>
      <c r="B35" s="53"/>
      <c r="C35" s="54"/>
      <c r="D35" s="62"/>
      <c r="E35" s="55"/>
      <c r="F35" s="63"/>
      <c r="G35" s="56"/>
      <c r="H35" s="50"/>
      <c r="I35" s="50"/>
      <c r="J35" s="50"/>
      <c r="K35" s="50"/>
      <c r="L35" s="50"/>
      <c r="M35" s="50"/>
      <c r="N35" s="50"/>
      <c r="O35" s="50"/>
      <c r="P35" s="50"/>
      <c r="Q35" s="50"/>
      <c r="R35" s="50"/>
      <c r="S35" s="50"/>
      <c r="T35" s="50"/>
      <c r="U35" s="50"/>
      <c r="V35" s="50"/>
      <c r="W35" s="50"/>
      <c r="X35" s="50"/>
      <c r="Y35" s="50"/>
      <c r="Z35" s="50"/>
    </row>
    <row r="36">
      <c r="A36" s="53"/>
      <c r="B36" s="53"/>
      <c r="C36" s="54"/>
      <c r="D36" s="62"/>
      <c r="E36" s="55"/>
      <c r="F36" s="63"/>
      <c r="G36" s="56"/>
      <c r="H36" s="50"/>
      <c r="I36" s="50"/>
      <c r="J36" s="50"/>
      <c r="K36" s="50"/>
      <c r="L36" s="50"/>
      <c r="M36" s="50"/>
      <c r="N36" s="50"/>
      <c r="O36" s="50"/>
      <c r="P36" s="50"/>
      <c r="Q36" s="50"/>
      <c r="R36" s="50"/>
      <c r="S36" s="50"/>
      <c r="T36" s="50"/>
      <c r="U36" s="50"/>
      <c r="V36" s="50"/>
      <c r="W36" s="50"/>
      <c r="X36" s="50"/>
      <c r="Y36" s="50"/>
      <c r="Z36" s="50"/>
    </row>
    <row r="37">
      <c r="A37" s="53"/>
      <c r="B37" s="53"/>
      <c r="C37" s="54"/>
      <c r="D37" s="62"/>
      <c r="E37" s="55"/>
      <c r="F37" s="63"/>
      <c r="G37" s="56"/>
      <c r="H37" s="50"/>
      <c r="I37" s="50"/>
      <c r="J37" s="50"/>
      <c r="K37" s="50"/>
      <c r="L37" s="50"/>
      <c r="M37" s="50"/>
      <c r="N37" s="50"/>
      <c r="O37" s="50"/>
      <c r="P37" s="50"/>
      <c r="Q37" s="50"/>
      <c r="R37" s="50"/>
      <c r="S37" s="50"/>
      <c r="T37" s="50"/>
      <c r="U37" s="50"/>
      <c r="V37" s="50"/>
      <c r="W37" s="50"/>
      <c r="X37" s="50"/>
      <c r="Y37" s="50"/>
      <c r="Z37" s="50"/>
    </row>
    <row r="38">
      <c r="A38" s="53"/>
      <c r="B38" s="53"/>
      <c r="C38" s="54"/>
      <c r="D38" s="62"/>
      <c r="E38" s="55"/>
      <c r="F38" s="63"/>
      <c r="G38" s="56"/>
      <c r="H38" s="50"/>
      <c r="I38" s="50"/>
      <c r="J38" s="50"/>
      <c r="K38" s="50"/>
      <c r="L38" s="50"/>
      <c r="M38" s="50"/>
      <c r="N38" s="50"/>
      <c r="O38" s="50"/>
      <c r="P38" s="50"/>
      <c r="Q38" s="50"/>
      <c r="R38" s="50"/>
      <c r="S38" s="50"/>
      <c r="T38" s="50"/>
      <c r="U38" s="50"/>
      <c r="V38" s="50"/>
      <c r="W38" s="50"/>
      <c r="X38" s="50"/>
      <c r="Y38" s="50"/>
      <c r="Z38" s="50"/>
    </row>
    <row r="39">
      <c r="E39" s="45"/>
    </row>
    <row r="40">
      <c r="E40" s="45"/>
    </row>
    <row r="41">
      <c r="E41" s="45"/>
    </row>
    <row r="42">
      <c r="E42" s="45"/>
    </row>
    <row r="43">
      <c r="E43" s="45"/>
    </row>
    <row r="44">
      <c r="E44" s="45"/>
    </row>
    <row r="45">
      <c r="E45" s="45"/>
    </row>
    <row r="46">
      <c r="E46" s="45"/>
    </row>
    <row r="47">
      <c r="E47" s="45"/>
    </row>
    <row r="48">
      <c r="E48" s="45"/>
    </row>
    <row r="49">
      <c r="E49" s="45"/>
    </row>
    <row r="50">
      <c r="E50" s="45"/>
    </row>
    <row r="51">
      <c r="E51" s="45"/>
    </row>
    <row r="52">
      <c r="E52" s="45"/>
    </row>
    <row r="53">
      <c r="E53" s="45"/>
    </row>
    <row r="54">
      <c r="E54" s="45"/>
    </row>
    <row r="55">
      <c r="E55" s="45"/>
    </row>
    <row r="56">
      <c r="E56" s="45"/>
    </row>
    <row r="57">
      <c r="E57" s="45"/>
    </row>
    <row r="58">
      <c r="E58" s="45"/>
    </row>
    <row r="59">
      <c r="E59" s="45"/>
    </row>
    <row r="60">
      <c r="E60" s="45"/>
    </row>
    <row r="61">
      <c r="E61" s="45"/>
    </row>
    <row r="62">
      <c r="E62" s="45"/>
    </row>
    <row r="63">
      <c r="E63" s="45"/>
    </row>
    <row r="64">
      <c r="E64" s="45"/>
    </row>
    <row r="65">
      <c r="E65" s="45"/>
    </row>
    <row r="66">
      <c r="E66" s="45"/>
    </row>
    <row r="67">
      <c r="E67" s="45"/>
    </row>
    <row r="68">
      <c r="E68" s="45"/>
    </row>
    <row r="69">
      <c r="E69" s="45"/>
    </row>
    <row r="70">
      <c r="E70" s="45"/>
    </row>
    <row r="71">
      <c r="E71" s="45"/>
    </row>
    <row r="72">
      <c r="E72" s="45"/>
    </row>
    <row r="73">
      <c r="E73" s="45"/>
    </row>
    <row r="74">
      <c r="E74" s="45"/>
    </row>
    <row r="75">
      <c r="E75" s="45"/>
    </row>
    <row r="76">
      <c r="E76" s="45"/>
    </row>
    <row r="77">
      <c r="E77" s="45"/>
    </row>
    <row r="78">
      <c r="E78" s="45"/>
    </row>
    <row r="79">
      <c r="E79" s="45"/>
    </row>
    <row r="80">
      <c r="E80" s="45"/>
    </row>
    <row r="81">
      <c r="E81" s="45"/>
    </row>
    <row r="82">
      <c r="E82" s="45"/>
    </row>
    <row r="83">
      <c r="E83" s="45"/>
    </row>
    <row r="84">
      <c r="E84" s="45"/>
    </row>
    <row r="85">
      <c r="E85" s="45"/>
    </row>
    <row r="86">
      <c r="E86" s="45"/>
    </row>
    <row r="87">
      <c r="E87" s="45"/>
    </row>
    <row r="88">
      <c r="E88" s="45"/>
    </row>
    <row r="89">
      <c r="E89" s="45"/>
    </row>
    <row r="90">
      <c r="E90" s="45"/>
    </row>
    <row r="91">
      <c r="E91" s="45"/>
    </row>
    <row r="92">
      <c r="E92" s="45"/>
    </row>
    <row r="93">
      <c r="E93" s="45"/>
    </row>
    <row r="94">
      <c r="E94" s="45"/>
    </row>
    <row r="95">
      <c r="E95" s="45"/>
    </row>
    <row r="96">
      <c r="E96" s="45"/>
    </row>
    <row r="97">
      <c r="E97" s="45"/>
    </row>
    <row r="98">
      <c r="E98" s="45"/>
    </row>
    <row r="99">
      <c r="E99" s="45"/>
    </row>
    <row r="100">
      <c r="E100" s="45"/>
    </row>
    <row r="101">
      <c r="E101" s="45"/>
    </row>
    <row r="102">
      <c r="E102" s="45"/>
    </row>
    <row r="103">
      <c r="E103" s="45"/>
    </row>
    <row r="104">
      <c r="E104" s="45"/>
    </row>
    <row r="105">
      <c r="E105" s="45"/>
    </row>
    <row r="106">
      <c r="E106" s="45"/>
    </row>
    <row r="107">
      <c r="E107" s="45"/>
    </row>
    <row r="108">
      <c r="E108" s="45"/>
    </row>
    <row r="109">
      <c r="E109" s="45"/>
    </row>
    <row r="110">
      <c r="E110" s="45"/>
    </row>
    <row r="111">
      <c r="E111" s="45"/>
    </row>
    <row r="112">
      <c r="E112" s="45"/>
    </row>
    <row r="113">
      <c r="E113" s="45"/>
    </row>
    <row r="114">
      <c r="E114" s="45"/>
    </row>
    <row r="115">
      <c r="E115" s="45"/>
    </row>
    <row r="116">
      <c r="E116" s="45"/>
    </row>
    <row r="117">
      <c r="E117" s="45"/>
    </row>
    <row r="118">
      <c r="E118" s="45"/>
    </row>
    <row r="119">
      <c r="E119" s="45"/>
    </row>
    <row r="120">
      <c r="E120" s="45"/>
    </row>
    <row r="121">
      <c r="E121" s="45"/>
    </row>
    <row r="122">
      <c r="E122" s="45"/>
    </row>
    <row r="123">
      <c r="E123" s="45"/>
    </row>
    <row r="124">
      <c r="E124" s="45"/>
    </row>
    <row r="125">
      <c r="E125" s="45"/>
    </row>
    <row r="126">
      <c r="E126" s="45"/>
    </row>
    <row r="127">
      <c r="E127" s="45"/>
    </row>
    <row r="128">
      <c r="E128" s="45"/>
    </row>
    <row r="129">
      <c r="E129" s="45"/>
    </row>
    <row r="130">
      <c r="E130" s="45"/>
    </row>
    <row r="131">
      <c r="E131" s="45"/>
    </row>
    <row r="132">
      <c r="E132" s="45"/>
    </row>
    <row r="133">
      <c r="E133" s="45"/>
    </row>
    <row r="134">
      <c r="E134" s="45"/>
    </row>
    <row r="135">
      <c r="E135" s="45"/>
    </row>
    <row r="136">
      <c r="E136" s="45"/>
    </row>
    <row r="137">
      <c r="E137" s="45"/>
    </row>
    <row r="138">
      <c r="E138" s="45"/>
    </row>
    <row r="139">
      <c r="E139" s="45"/>
    </row>
    <row r="140">
      <c r="E140" s="45"/>
    </row>
    <row r="141">
      <c r="E141" s="45"/>
    </row>
    <row r="142">
      <c r="E142" s="45"/>
    </row>
    <row r="143">
      <c r="E143" s="45"/>
    </row>
    <row r="144">
      <c r="E144" s="45"/>
    </row>
    <row r="145">
      <c r="E145" s="45"/>
    </row>
    <row r="146">
      <c r="E146" s="45"/>
    </row>
    <row r="147">
      <c r="E147" s="45"/>
    </row>
    <row r="148">
      <c r="E148" s="45"/>
    </row>
    <row r="149">
      <c r="E149" s="45"/>
    </row>
    <row r="150">
      <c r="E150" s="45"/>
    </row>
    <row r="151">
      <c r="E151" s="45"/>
    </row>
    <row r="152">
      <c r="E152" s="45"/>
    </row>
    <row r="153">
      <c r="E153" s="45"/>
    </row>
    <row r="154">
      <c r="E154" s="45"/>
    </row>
    <row r="155">
      <c r="E155" s="45"/>
    </row>
    <row r="156">
      <c r="E156" s="45"/>
    </row>
    <row r="157">
      <c r="E157" s="45"/>
    </row>
    <row r="158">
      <c r="E158" s="45"/>
    </row>
    <row r="159">
      <c r="E159" s="45"/>
    </row>
    <row r="160">
      <c r="E160" s="45"/>
    </row>
    <row r="161">
      <c r="E161" s="45"/>
    </row>
    <row r="162">
      <c r="E162" s="45"/>
    </row>
    <row r="163">
      <c r="E163" s="45"/>
    </row>
    <row r="164">
      <c r="E164" s="45"/>
    </row>
    <row r="165">
      <c r="E165" s="45"/>
    </row>
    <row r="166">
      <c r="E166" s="45"/>
    </row>
    <row r="167">
      <c r="E167" s="45"/>
    </row>
    <row r="168">
      <c r="E168" s="45"/>
    </row>
    <row r="169">
      <c r="E169" s="45"/>
    </row>
    <row r="170">
      <c r="E170" s="45"/>
    </row>
    <row r="171">
      <c r="E171" s="45"/>
    </row>
    <row r="172">
      <c r="E172" s="45"/>
    </row>
    <row r="173">
      <c r="E173" s="45"/>
    </row>
    <row r="174">
      <c r="E174" s="45"/>
    </row>
    <row r="175">
      <c r="E175" s="45"/>
    </row>
    <row r="176">
      <c r="E176" s="45"/>
    </row>
    <row r="177">
      <c r="E177" s="45"/>
    </row>
    <row r="178">
      <c r="E178" s="45"/>
    </row>
    <row r="179">
      <c r="E179" s="45"/>
    </row>
    <row r="180">
      <c r="E180" s="45"/>
    </row>
    <row r="181">
      <c r="E181" s="45"/>
    </row>
    <row r="182">
      <c r="E182" s="45"/>
    </row>
    <row r="183">
      <c r="E183" s="45"/>
    </row>
    <row r="184">
      <c r="E184" s="45"/>
    </row>
    <row r="185">
      <c r="E185" s="45"/>
    </row>
    <row r="186">
      <c r="E186" s="45"/>
    </row>
    <row r="187">
      <c r="E187" s="45"/>
    </row>
    <row r="188">
      <c r="E188" s="45"/>
    </row>
    <row r="189">
      <c r="E189" s="45"/>
    </row>
    <row r="190">
      <c r="E190" s="45"/>
    </row>
    <row r="191">
      <c r="E191" s="45"/>
    </row>
    <row r="192">
      <c r="E192" s="45"/>
    </row>
    <row r="193">
      <c r="E193" s="45"/>
    </row>
    <row r="194">
      <c r="E194" s="45"/>
    </row>
    <row r="195">
      <c r="E195" s="45"/>
    </row>
    <row r="196">
      <c r="E196" s="45"/>
    </row>
    <row r="197">
      <c r="E197" s="45"/>
    </row>
    <row r="198">
      <c r="E198" s="45"/>
    </row>
    <row r="199">
      <c r="E199" s="45"/>
    </row>
    <row r="200">
      <c r="E200" s="45"/>
    </row>
    <row r="201">
      <c r="E201" s="45"/>
    </row>
    <row r="202">
      <c r="E202" s="45"/>
    </row>
    <row r="203">
      <c r="E203" s="45"/>
    </row>
    <row r="204">
      <c r="E204" s="45"/>
    </row>
    <row r="205">
      <c r="E205" s="45"/>
    </row>
    <row r="206">
      <c r="E206" s="45"/>
    </row>
    <row r="207">
      <c r="E207" s="45"/>
    </row>
    <row r="208">
      <c r="E208" s="45"/>
    </row>
    <row r="209">
      <c r="E209" s="45"/>
    </row>
    <row r="210">
      <c r="E210" s="45"/>
    </row>
    <row r="211">
      <c r="E211" s="45"/>
    </row>
    <row r="212">
      <c r="E212" s="45"/>
    </row>
    <row r="213">
      <c r="E213" s="45"/>
    </row>
    <row r="214">
      <c r="E214" s="45"/>
    </row>
    <row r="215">
      <c r="E215" s="45"/>
    </row>
    <row r="216">
      <c r="E216" s="45"/>
    </row>
    <row r="217">
      <c r="E217" s="45"/>
    </row>
    <row r="218">
      <c r="E218" s="45"/>
    </row>
    <row r="219">
      <c r="E219" s="45"/>
    </row>
    <row r="220">
      <c r="E220" s="45"/>
    </row>
    <row r="221">
      <c r="E221" s="45"/>
    </row>
    <row r="222">
      <c r="E222" s="45"/>
    </row>
    <row r="223">
      <c r="E223" s="45"/>
    </row>
    <row r="224">
      <c r="E224" s="45"/>
    </row>
    <row r="225">
      <c r="E225" s="45"/>
    </row>
    <row r="226">
      <c r="E226" s="45"/>
    </row>
    <row r="227">
      <c r="E227" s="45"/>
    </row>
    <row r="228">
      <c r="E228" s="45"/>
    </row>
    <row r="229">
      <c r="E229" s="45"/>
    </row>
    <row r="230">
      <c r="E230" s="45"/>
    </row>
    <row r="231">
      <c r="E231" s="45"/>
    </row>
    <row r="232">
      <c r="E232" s="45"/>
    </row>
    <row r="233">
      <c r="E233" s="45"/>
    </row>
    <row r="234">
      <c r="E234" s="45"/>
    </row>
    <row r="235">
      <c r="E235" s="45"/>
    </row>
    <row r="236">
      <c r="E236" s="45"/>
    </row>
    <row r="237">
      <c r="E237" s="45"/>
    </row>
    <row r="238">
      <c r="E238" s="45"/>
    </row>
    <row r="239">
      <c r="E239" s="45"/>
    </row>
    <row r="240">
      <c r="E240" s="45"/>
    </row>
    <row r="241">
      <c r="E241" s="45"/>
    </row>
    <row r="242">
      <c r="E242" s="45"/>
    </row>
    <row r="243">
      <c r="E243" s="45"/>
    </row>
    <row r="244">
      <c r="E244" s="45"/>
    </row>
    <row r="245">
      <c r="E245" s="45"/>
    </row>
    <row r="246">
      <c r="E246" s="45"/>
    </row>
    <row r="247">
      <c r="E247" s="45"/>
    </row>
    <row r="248">
      <c r="E248" s="45"/>
    </row>
    <row r="249">
      <c r="E249" s="45"/>
    </row>
    <row r="250">
      <c r="E250" s="45"/>
    </row>
    <row r="251">
      <c r="E251" s="45"/>
    </row>
    <row r="252">
      <c r="E252" s="45"/>
    </row>
    <row r="253">
      <c r="E253" s="45"/>
    </row>
    <row r="254">
      <c r="E254" s="45"/>
    </row>
    <row r="255">
      <c r="E255" s="45"/>
    </row>
    <row r="256">
      <c r="E256" s="45"/>
    </row>
    <row r="257">
      <c r="E257" s="45"/>
    </row>
    <row r="258">
      <c r="E258" s="45"/>
    </row>
    <row r="259">
      <c r="E259" s="45"/>
    </row>
    <row r="260">
      <c r="E260" s="45"/>
    </row>
    <row r="261">
      <c r="E261" s="45"/>
    </row>
    <row r="262">
      <c r="E262" s="45"/>
    </row>
    <row r="263">
      <c r="E263" s="45"/>
    </row>
    <row r="264">
      <c r="E264" s="45"/>
    </row>
    <row r="265">
      <c r="E265" s="45"/>
    </row>
    <row r="266">
      <c r="E266" s="45"/>
    </row>
    <row r="267">
      <c r="E267" s="45"/>
    </row>
    <row r="268">
      <c r="E268" s="45"/>
    </row>
    <row r="269">
      <c r="E269" s="45"/>
    </row>
    <row r="270">
      <c r="E270" s="45"/>
    </row>
    <row r="271">
      <c r="E271" s="45"/>
    </row>
    <row r="272">
      <c r="E272" s="45"/>
    </row>
    <row r="273">
      <c r="E273" s="45"/>
    </row>
    <row r="274">
      <c r="E274" s="45"/>
    </row>
    <row r="275">
      <c r="E275" s="45"/>
    </row>
    <row r="276">
      <c r="E276" s="45"/>
    </row>
    <row r="277">
      <c r="E277" s="45"/>
    </row>
    <row r="278">
      <c r="E278" s="45"/>
    </row>
    <row r="279">
      <c r="E279" s="45"/>
    </row>
    <row r="280">
      <c r="E280" s="45"/>
    </row>
    <row r="281">
      <c r="E281" s="45"/>
    </row>
    <row r="282">
      <c r="E282" s="45"/>
    </row>
    <row r="283">
      <c r="E283" s="45"/>
    </row>
    <row r="284">
      <c r="E284" s="45"/>
    </row>
    <row r="285">
      <c r="E285" s="45"/>
    </row>
    <row r="286">
      <c r="E286" s="45"/>
    </row>
    <row r="287">
      <c r="E287" s="45"/>
    </row>
    <row r="288">
      <c r="E288" s="45"/>
    </row>
    <row r="289">
      <c r="E289" s="45"/>
    </row>
    <row r="290">
      <c r="E290" s="45"/>
    </row>
    <row r="291">
      <c r="E291" s="45"/>
    </row>
    <row r="292">
      <c r="E292" s="45"/>
    </row>
    <row r="293">
      <c r="E293" s="45"/>
    </row>
    <row r="294">
      <c r="E294" s="45"/>
    </row>
    <row r="295">
      <c r="E295" s="45"/>
    </row>
    <row r="296">
      <c r="E296" s="45"/>
    </row>
    <row r="297">
      <c r="E297" s="45"/>
    </row>
    <row r="298">
      <c r="E298" s="45"/>
    </row>
    <row r="299">
      <c r="E299" s="45"/>
    </row>
    <row r="300">
      <c r="E300" s="45"/>
    </row>
    <row r="301">
      <c r="E301" s="45"/>
    </row>
    <row r="302">
      <c r="E302" s="45"/>
    </row>
    <row r="303">
      <c r="E303" s="45"/>
    </row>
    <row r="304">
      <c r="E304" s="45"/>
    </row>
    <row r="305">
      <c r="E305" s="45"/>
    </row>
    <row r="306">
      <c r="E306" s="45"/>
    </row>
    <row r="307">
      <c r="E307" s="45"/>
    </row>
    <row r="308">
      <c r="E308" s="45"/>
    </row>
    <row r="309">
      <c r="E309" s="45"/>
    </row>
    <row r="310">
      <c r="E310" s="45"/>
    </row>
    <row r="311">
      <c r="E311" s="45"/>
    </row>
    <row r="312">
      <c r="E312" s="45"/>
    </row>
    <row r="313">
      <c r="E313" s="45"/>
    </row>
    <row r="314">
      <c r="E314" s="45"/>
    </row>
    <row r="315">
      <c r="E315" s="45"/>
    </row>
    <row r="316">
      <c r="E316" s="45"/>
    </row>
    <row r="317">
      <c r="E317" s="45"/>
    </row>
    <row r="318">
      <c r="E318" s="45"/>
    </row>
    <row r="319">
      <c r="E319" s="45"/>
    </row>
    <row r="320">
      <c r="E320" s="45"/>
    </row>
    <row r="321">
      <c r="E321" s="45"/>
    </row>
    <row r="322">
      <c r="E322" s="45"/>
    </row>
    <row r="323">
      <c r="E323" s="45"/>
    </row>
    <row r="324">
      <c r="E324" s="45"/>
    </row>
    <row r="325">
      <c r="E325" s="45"/>
    </row>
    <row r="326">
      <c r="E326" s="45"/>
    </row>
    <row r="327">
      <c r="E327" s="45"/>
    </row>
    <row r="328">
      <c r="E328" s="45"/>
    </row>
    <row r="329">
      <c r="E329" s="45"/>
    </row>
    <row r="330">
      <c r="E330" s="45"/>
    </row>
    <row r="331">
      <c r="E331" s="45"/>
    </row>
    <row r="332">
      <c r="E332" s="45"/>
    </row>
    <row r="333">
      <c r="E333" s="45"/>
    </row>
    <row r="334">
      <c r="E334" s="45"/>
    </row>
    <row r="335">
      <c r="E335" s="45"/>
    </row>
    <row r="336">
      <c r="E336" s="45"/>
    </row>
    <row r="337">
      <c r="E337" s="45"/>
    </row>
    <row r="338">
      <c r="E338" s="45"/>
    </row>
    <row r="339">
      <c r="E339" s="45"/>
    </row>
    <row r="340">
      <c r="E340" s="45"/>
    </row>
    <row r="341">
      <c r="E341" s="45"/>
    </row>
    <row r="342">
      <c r="E342" s="45"/>
    </row>
    <row r="343">
      <c r="E343" s="45"/>
    </row>
    <row r="344">
      <c r="E344" s="45"/>
    </row>
    <row r="345">
      <c r="E345" s="45"/>
    </row>
    <row r="346">
      <c r="E346" s="45"/>
    </row>
    <row r="347">
      <c r="E347" s="45"/>
    </row>
    <row r="348">
      <c r="E348" s="45"/>
    </row>
    <row r="349">
      <c r="E349" s="45"/>
    </row>
    <row r="350">
      <c r="E350" s="45"/>
    </row>
    <row r="351">
      <c r="E351" s="45"/>
    </row>
    <row r="352">
      <c r="E352" s="45"/>
    </row>
    <row r="353">
      <c r="E353" s="45"/>
    </row>
    <row r="354">
      <c r="E354" s="45"/>
    </row>
    <row r="355">
      <c r="E355" s="45"/>
    </row>
    <row r="356">
      <c r="E356" s="45"/>
    </row>
    <row r="357">
      <c r="E357" s="45"/>
    </row>
    <row r="358">
      <c r="E358" s="45"/>
    </row>
    <row r="359">
      <c r="E359" s="45"/>
    </row>
    <row r="360">
      <c r="E360" s="45"/>
    </row>
    <row r="361">
      <c r="E361" s="45"/>
    </row>
    <row r="362">
      <c r="E362" s="45"/>
    </row>
    <row r="363">
      <c r="E363" s="45"/>
    </row>
    <row r="364">
      <c r="E364" s="45"/>
    </row>
    <row r="365">
      <c r="E365" s="45"/>
    </row>
    <row r="366">
      <c r="E366" s="45"/>
    </row>
    <row r="367">
      <c r="E367" s="45"/>
    </row>
    <row r="368">
      <c r="E368" s="45"/>
    </row>
    <row r="369">
      <c r="E369" s="45"/>
    </row>
    <row r="370">
      <c r="E370" s="45"/>
    </row>
    <row r="371">
      <c r="E371" s="45"/>
    </row>
    <row r="372">
      <c r="E372" s="45"/>
    </row>
    <row r="373">
      <c r="E373" s="45"/>
    </row>
    <row r="374">
      <c r="E374" s="45"/>
    </row>
    <row r="375">
      <c r="E375" s="45"/>
    </row>
    <row r="376">
      <c r="E376" s="45"/>
    </row>
    <row r="377">
      <c r="E377" s="45"/>
    </row>
    <row r="378">
      <c r="E378" s="45"/>
    </row>
    <row r="379">
      <c r="E379" s="45"/>
    </row>
    <row r="380">
      <c r="E380" s="45"/>
    </row>
    <row r="381">
      <c r="E381" s="45"/>
    </row>
    <row r="382">
      <c r="E382" s="45"/>
    </row>
    <row r="383">
      <c r="E383" s="45"/>
    </row>
    <row r="384">
      <c r="E384" s="45"/>
    </row>
    <row r="385">
      <c r="E385" s="45"/>
    </row>
    <row r="386">
      <c r="E386" s="45"/>
    </row>
    <row r="387">
      <c r="E387" s="45"/>
    </row>
    <row r="388">
      <c r="E388" s="45"/>
    </row>
    <row r="389">
      <c r="E389" s="45"/>
    </row>
    <row r="390">
      <c r="E390" s="45"/>
    </row>
    <row r="391">
      <c r="E391" s="45"/>
    </row>
    <row r="392">
      <c r="E392" s="45"/>
    </row>
    <row r="393">
      <c r="E393" s="45"/>
    </row>
    <row r="394">
      <c r="E394" s="45"/>
    </row>
    <row r="395">
      <c r="E395" s="45"/>
    </row>
    <row r="396">
      <c r="E396" s="45"/>
    </row>
    <row r="397">
      <c r="E397" s="45"/>
    </row>
    <row r="398">
      <c r="E398" s="45"/>
    </row>
    <row r="399">
      <c r="E399" s="45"/>
    </row>
    <row r="400">
      <c r="E400" s="45"/>
    </row>
    <row r="401">
      <c r="E401" s="45"/>
    </row>
    <row r="402">
      <c r="E402" s="45"/>
    </row>
    <row r="403">
      <c r="E403" s="45"/>
    </row>
    <row r="404">
      <c r="E404" s="45"/>
    </row>
    <row r="405">
      <c r="E405" s="45"/>
    </row>
    <row r="406">
      <c r="E406" s="45"/>
    </row>
    <row r="407">
      <c r="E407" s="45"/>
    </row>
    <row r="408">
      <c r="E408" s="45"/>
    </row>
    <row r="409">
      <c r="E409" s="45"/>
    </row>
    <row r="410">
      <c r="E410" s="45"/>
    </row>
    <row r="411">
      <c r="E411" s="45"/>
    </row>
    <row r="412">
      <c r="E412" s="45"/>
    </row>
    <row r="413">
      <c r="E413" s="45"/>
    </row>
    <row r="414">
      <c r="E414" s="45"/>
    </row>
    <row r="415">
      <c r="E415" s="45"/>
    </row>
    <row r="416">
      <c r="E416" s="45"/>
    </row>
    <row r="417">
      <c r="E417" s="45"/>
    </row>
    <row r="418">
      <c r="E418" s="45"/>
    </row>
    <row r="419">
      <c r="E419" s="45"/>
    </row>
    <row r="420">
      <c r="E420" s="45"/>
    </row>
    <row r="421">
      <c r="E421" s="45"/>
    </row>
    <row r="422">
      <c r="E422" s="45"/>
    </row>
    <row r="423">
      <c r="E423" s="45"/>
    </row>
    <row r="424">
      <c r="E424" s="45"/>
    </row>
    <row r="425">
      <c r="E425" s="45"/>
    </row>
    <row r="426">
      <c r="E426" s="45"/>
    </row>
    <row r="427">
      <c r="E427" s="45"/>
    </row>
    <row r="428">
      <c r="E428" s="45"/>
    </row>
    <row r="429">
      <c r="E429" s="45"/>
    </row>
    <row r="430">
      <c r="E430" s="45"/>
    </row>
    <row r="431">
      <c r="E431" s="45"/>
    </row>
    <row r="432">
      <c r="E432" s="45"/>
    </row>
    <row r="433">
      <c r="E433" s="45"/>
    </row>
    <row r="434">
      <c r="E434" s="45"/>
    </row>
    <row r="435">
      <c r="E435" s="45"/>
    </row>
    <row r="436">
      <c r="E436" s="45"/>
    </row>
    <row r="437">
      <c r="E437" s="45"/>
    </row>
    <row r="438">
      <c r="E438" s="45"/>
    </row>
    <row r="439">
      <c r="E439" s="45"/>
    </row>
    <row r="440">
      <c r="E440" s="45"/>
    </row>
    <row r="441">
      <c r="E441" s="45"/>
    </row>
    <row r="442">
      <c r="E442" s="45"/>
    </row>
    <row r="443">
      <c r="E443" s="45"/>
    </row>
    <row r="444">
      <c r="E444" s="45"/>
    </row>
    <row r="445">
      <c r="E445" s="45"/>
    </row>
    <row r="446">
      <c r="E446" s="45"/>
    </row>
    <row r="447">
      <c r="E447" s="45"/>
    </row>
    <row r="448">
      <c r="E448" s="45"/>
    </row>
    <row r="449">
      <c r="E449" s="45"/>
    </row>
    <row r="450">
      <c r="E450" s="45"/>
    </row>
    <row r="451">
      <c r="E451" s="45"/>
    </row>
    <row r="452">
      <c r="E452" s="45"/>
    </row>
    <row r="453">
      <c r="E453" s="45"/>
    </row>
    <row r="454">
      <c r="E454" s="45"/>
    </row>
    <row r="455">
      <c r="E455" s="45"/>
    </row>
    <row r="456">
      <c r="E456" s="45"/>
    </row>
    <row r="457">
      <c r="E457" s="45"/>
    </row>
    <row r="458">
      <c r="E458" s="45"/>
    </row>
    <row r="459">
      <c r="E459" s="45"/>
    </row>
    <row r="460">
      <c r="E460" s="45"/>
    </row>
    <row r="461">
      <c r="E461" s="45"/>
    </row>
    <row r="462">
      <c r="E462" s="45"/>
    </row>
    <row r="463">
      <c r="E463" s="45"/>
    </row>
    <row r="464">
      <c r="E464" s="45"/>
    </row>
    <row r="465">
      <c r="E465" s="45"/>
    </row>
    <row r="466">
      <c r="E466" s="45"/>
    </row>
    <row r="467">
      <c r="E467" s="45"/>
    </row>
    <row r="468">
      <c r="E468" s="45"/>
    </row>
    <row r="469">
      <c r="E469" s="45"/>
    </row>
    <row r="470">
      <c r="E470" s="45"/>
    </row>
    <row r="471">
      <c r="E471" s="45"/>
    </row>
    <row r="472">
      <c r="E472" s="45"/>
    </row>
    <row r="473">
      <c r="E473" s="45"/>
    </row>
    <row r="474">
      <c r="E474" s="45"/>
    </row>
    <row r="475">
      <c r="E475" s="45"/>
    </row>
    <row r="476">
      <c r="E476" s="45"/>
    </row>
    <row r="477">
      <c r="E477" s="45"/>
    </row>
    <row r="478">
      <c r="E478" s="45"/>
    </row>
    <row r="479">
      <c r="E479" s="45"/>
    </row>
    <row r="480">
      <c r="E480" s="45"/>
    </row>
    <row r="481">
      <c r="E481" s="45"/>
    </row>
    <row r="482">
      <c r="E482" s="45"/>
    </row>
    <row r="483">
      <c r="E483" s="45"/>
    </row>
    <row r="484">
      <c r="E484" s="45"/>
    </row>
    <row r="485">
      <c r="E485" s="45"/>
    </row>
    <row r="486">
      <c r="E486" s="45"/>
    </row>
    <row r="487">
      <c r="E487" s="45"/>
    </row>
    <row r="488">
      <c r="E488" s="45"/>
    </row>
    <row r="489">
      <c r="E489" s="45"/>
    </row>
    <row r="490">
      <c r="E490" s="45"/>
    </row>
    <row r="491">
      <c r="E491" s="45"/>
    </row>
    <row r="492">
      <c r="E492" s="45"/>
    </row>
    <row r="493">
      <c r="E493" s="45"/>
    </row>
    <row r="494">
      <c r="E494" s="45"/>
    </row>
    <row r="495">
      <c r="E495" s="45"/>
    </row>
    <row r="496">
      <c r="E496" s="45"/>
    </row>
    <row r="497">
      <c r="E497" s="45"/>
    </row>
    <row r="498">
      <c r="E498" s="45"/>
    </row>
    <row r="499">
      <c r="E499" s="45"/>
    </row>
    <row r="500">
      <c r="E500" s="45"/>
    </row>
    <row r="501">
      <c r="E501" s="45"/>
    </row>
    <row r="502">
      <c r="E502" s="45"/>
    </row>
    <row r="503">
      <c r="E503" s="45"/>
    </row>
    <row r="504">
      <c r="E504" s="45"/>
    </row>
    <row r="505">
      <c r="E505" s="45"/>
    </row>
    <row r="506">
      <c r="E506" s="45"/>
    </row>
    <row r="507">
      <c r="E507" s="45"/>
    </row>
    <row r="508">
      <c r="E508" s="45"/>
    </row>
    <row r="509">
      <c r="E509" s="45"/>
    </row>
    <row r="510">
      <c r="E510" s="45"/>
    </row>
    <row r="511">
      <c r="E511" s="45"/>
    </row>
    <row r="512">
      <c r="E512" s="45"/>
    </row>
    <row r="513">
      <c r="E513" s="45"/>
    </row>
    <row r="514">
      <c r="E514" s="45"/>
    </row>
    <row r="515">
      <c r="E515" s="45"/>
    </row>
    <row r="516">
      <c r="E516" s="45"/>
    </row>
    <row r="517">
      <c r="E517" s="45"/>
    </row>
    <row r="518">
      <c r="E518" s="45"/>
    </row>
    <row r="519">
      <c r="E519" s="45"/>
    </row>
    <row r="520">
      <c r="E520" s="45"/>
    </row>
    <row r="521">
      <c r="E521" s="45"/>
    </row>
    <row r="522">
      <c r="E522" s="45"/>
    </row>
    <row r="523">
      <c r="E523" s="45"/>
    </row>
    <row r="524">
      <c r="E524" s="45"/>
    </row>
    <row r="525">
      <c r="E525" s="45"/>
    </row>
    <row r="526">
      <c r="E526" s="45"/>
    </row>
    <row r="527">
      <c r="E527" s="45"/>
    </row>
    <row r="528">
      <c r="E528" s="45"/>
    </row>
    <row r="529">
      <c r="E529" s="45"/>
    </row>
    <row r="530">
      <c r="E530" s="45"/>
    </row>
    <row r="531">
      <c r="E531" s="45"/>
    </row>
    <row r="532">
      <c r="E532" s="45"/>
    </row>
    <row r="533">
      <c r="E533" s="45"/>
    </row>
    <row r="534">
      <c r="E534" s="45"/>
    </row>
    <row r="535">
      <c r="E535" s="45"/>
    </row>
    <row r="536">
      <c r="E536" s="45"/>
    </row>
    <row r="537">
      <c r="E537" s="45"/>
    </row>
    <row r="538">
      <c r="E538" s="45"/>
    </row>
    <row r="539">
      <c r="E539" s="45"/>
    </row>
    <row r="540">
      <c r="E540" s="45"/>
    </row>
    <row r="541">
      <c r="E541" s="45"/>
    </row>
    <row r="542">
      <c r="E542" s="45"/>
    </row>
    <row r="543">
      <c r="E543" s="45"/>
    </row>
    <row r="544">
      <c r="E544" s="45"/>
    </row>
    <row r="545">
      <c r="E545" s="45"/>
    </row>
    <row r="546">
      <c r="E546" s="45"/>
    </row>
    <row r="547">
      <c r="E547" s="45"/>
    </row>
    <row r="548">
      <c r="E548" s="45"/>
    </row>
    <row r="549">
      <c r="E549" s="45"/>
    </row>
    <row r="550">
      <c r="E550" s="45"/>
    </row>
    <row r="551">
      <c r="E551" s="45"/>
    </row>
    <row r="552">
      <c r="E552" s="45"/>
    </row>
    <row r="553">
      <c r="E553" s="45"/>
    </row>
    <row r="554">
      <c r="E554" s="45"/>
    </row>
    <row r="555">
      <c r="E555" s="45"/>
    </row>
    <row r="556">
      <c r="E556" s="45"/>
    </row>
    <row r="557">
      <c r="E557" s="45"/>
    </row>
    <row r="558">
      <c r="E558" s="45"/>
    </row>
    <row r="559">
      <c r="E559" s="45"/>
    </row>
    <row r="560">
      <c r="E560" s="45"/>
    </row>
    <row r="561">
      <c r="E561" s="45"/>
    </row>
    <row r="562">
      <c r="E562" s="45"/>
    </row>
    <row r="563">
      <c r="E563" s="45"/>
    </row>
    <row r="564">
      <c r="E564" s="45"/>
    </row>
    <row r="565">
      <c r="E565" s="45"/>
    </row>
    <row r="566">
      <c r="E566" s="45"/>
    </row>
    <row r="567">
      <c r="E567" s="45"/>
    </row>
    <row r="568">
      <c r="E568" s="45"/>
    </row>
    <row r="569">
      <c r="E569" s="45"/>
    </row>
    <row r="570">
      <c r="E570" s="45"/>
    </row>
    <row r="571">
      <c r="E571" s="45"/>
    </row>
    <row r="572">
      <c r="E572" s="45"/>
    </row>
    <row r="573">
      <c r="E573" s="45"/>
    </row>
    <row r="574">
      <c r="E574" s="45"/>
    </row>
    <row r="575">
      <c r="E575" s="45"/>
    </row>
    <row r="576">
      <c r="E576" s="45"/>
    </row>
    <row r="577">
      <c r="E577" s="45"/>
    </row>
    <row r="578">
      <c r="E578" s="45"/>
    </row>
    <row r="579">
      <c r="E579" s="45"/>
    </row>
    <row r="580">
      <c r="E580" s="45"/>
    </row>
    <row r="581">
      <c r="E581" s="45"/>
    </row>
    <row r="582">
      <c r="E582" s="45"/>
    </row>
    <row r="583">
      <c r="E583" s="45"/>
    </row>
    <row r="584">
      <c r="E584" s="45"/>
    </row>
    <row r="585">
      <c r="E585" s="45"/>
    </row>
    <row r="586">
      <c r="E586" s="45"/>
    </row>
    <row r="587">
      <c r="E587" s="45"/>
    </row>
    <row r="588">
      <c r="E588" s="45"/>
    </row>
    <row r="589">
      <c r="E589" s="45"/>
    </row>
    <row r="590">
      <c r="E590" s="45"/>
    </row>
    <row r="591">
      <c r="E591" s="45"/>
    </row>
    <row r="592">
      <c r="E592" s="45"/>
    </row>
    <row r="593">
      <c r="E593" s="45"/>
    </row>
    <row r="594">
      <c r="E594" s="45"/>
    </row>
    <row r="595">
      <c r="E595" s="45"/>
    </row>
    <row r="596">
      <c r="E596" s="45"/>
    </row>
    <row r="597">
      <c r="E597" s="45"/>
    </row>
    <row r="598">
      <c r="E598" s="45"/>
    </row>
    <row r="599">
      <c r="E599" s="45"/>
    </row>
    <row r="600">
      <c r="E600" s="45"/>
    </row>
    <row r="601">
      <c r="E601" s="45"/>
    </row>
    <row r="602">
      <c r="E602" s="45"/>
    </row>
    <row r="603">
      <c r="E603" s="45"/>
    </row>
    <row r="604">
      <c r="E604" s="45"/>
    </row>
    <row r="605">
      <c r="E605" s="45"/>
    </row>
    <row r="606">
      <c r="E606" s="45"/>
    </row>
    <row r="607">
      <c r="E607" s="45"/>
    </row>
    <row r="608">
      <c r="E608" s="45"/>
    </row>
    <row r="609">
      <c r="E609" s="45"/>
    </row>
    <row r="610">
      <c r="E610" s="45"/>
    </row>
    <row r="611">
      <c r="E611" s="45"/>
    </row>
    <row r="612">
      <c r="E612" s="45"/>
    </row>
    <row r="613">
      <c r="E613" s="45"/>
    </row>
    <row r="614">
      <c r="E614" s="45"/>
    </row>
    <row r="615">
      <c r="E615" s="45"/>
    </row>
    <row r="616">
      <c r="E616" s="45"/>
    </row>
    <row r="617">
      <c r="E617" s="45"/>
    </row>
    <row r="618">
      <c r="E618" s="45"/>
    </row>
    <row r="619">
      <c r="E619" s="45"/>
    </row>
    <row r="620">
      <c r="E620" s="45"/>
    </row>
    <row r="621">
      <c r="E621" s="45"/>
    </row>
    <row r="622">
      <c r="E622" s="45"/>
    </row>
    <row r="623">
      <c r="E623" s="45"/>
    </row>
    <row r="624">
      <c r="E624" s="45"/>
    </row>
    <row r="625">
      <c r="E625" s="45"/>
    </row>
    <row r="626">
      <c r="E626" s="45"/>
    </row>
    <row r="627">
      <c r="E627" s="45"/>
    </row>
    <row r="628">
      <c r="E628" s="45"/>
    </row>
    <row r="629">
      <c r="E629" s="45"/>
    </row>
    <row r="630">
      <c r="E630" s="45"/>
    </row>
    <row r="631">
      <c r="E631" s="45"/>
    </row>
    <row r="632">
      <c r="E632" s="45"/>
    </row>
    <row r="633">
      <c r="E633" s="45"/>
    </row>
    <row r="634">
      <c r="E634" s="45"/>
    </row>
    <row r="635">
      <c r="E635" s="45"/>
    </row>
    <row r="636">
      <c r="E636" s="45"/>
    </row>
    <row r="637">
      <c r="E637" s="45"/>
    </row>
    <row r="638">
      <c r="E638" s="45"/>
    </row>
    <row r="639">
      <c r="E639" s="45"/>
    </row>
    <row r="640">
      <c r="E640" s="45"/>
    </row>
    <row r="641">
      <c r="E641" s="45"/>
    </row>
    <row r="642">
      <c r="E642" s="45"/>
    </row>
    <row r="643">
      <c r="E643" s="45"/>
    </row>
    <row r="644">
      <c r="E644" s="45"/>
    </row>
    <row r="645">
      <c r="E645" s="45"/>
    </row>
    <row r="646">
      <c r="E646" s="45"/>
    </row>
    <row r="647">
      <c r="E647" s="45"/>
    </row>
    <row r="648">
      <c r="E648" s="45"/>
    </row>
    <row r="649">
      <c r="E649" s="45"/>
    </row>
    <row r="650">
      <c r="E650" s="45"/>
    </row>
    <row r="651">
      <c r="E651" s="45"/>
    </row>
    <row r="652">
      <c r="E652" s="45"/>
    </row>
    <row r="653">
      <c r="E653" s="45"/>
    </row>
    <row r="654">
      <c r="E654" s="45"/>
    </row>
    <row r="655">
      <c r="E655" s="45"/>
    </row>
    <row r="656">
      <c r="E656" s="45"/>
    </row>
    <row r="657">
      <c r="E657" s="45"/>
    </row>
    <row r="658">
      <c r="E658" s="45"/>
    </row>
    <row r="659">
      <c r="E659" s="45"/>
    </row>
    <row r="660">
      <c r="E660" s="45"/>
    </row>
    <row r="661">
      <c r="E661" s="45"/>
    </row>
    <row r="662">
      <c r="E662" s="45"/>
    </row>
    <row r="663">
      <c r="E663" s="45"/>
    </row>
    <row r="664">
      <c r="E664" s="45"/>
    </row>
    <row r="665">
      <c r="E665" s="45"/>
    </row>
    <row r="666">
      <c r="E666" s="45"/>
    </row>
    <row r="667">
      <c r="E667" s="45"/>
    </row>
    <row r="668">
      <c r="E668" s="45"/>
    </row>
    <row r="669">
      <c r="E669" s="45"/>
    </row>
    <row r="670">
      <c r="E670" s="45"/>
    </row>
    <row r="671">
      <c r="E671" s="45"/>
    </row>
    <row r="672">
      <c r="E672" s="45"/>
    </row>
    <row r="673">
      <c r="E673" s="45"/>
    </row>
    <row r="674">
      <c r="E674" s="45"/>
    </row>
    <row r="675">
      <c r="E675" s="45"/>
    </row>
    <row r="676">
      <c r="E676" s="45"/>
    </row>
    <row r="677">
      <c r="E677" s="45"/>
    </row>
    <row r="678">
      <c r="E678" s="45"/>
    </row>
    <row r="679">
      <c r="E679" s="45"/>
    </row>
    <row r="680">
      <c r="E680" s="45"/>
    </row>
    <row r="681">
      <c r="E681" s="45"/>
    </row>
    <row r="682">
      <c r="E682" s="45"/>
    </row>
    <row r="683">
      <c r="E683" s="45"/>
    </row>
    <row r="684">
      <c r="E684" s="45"/>
    </row>
    <row r="685">
      <c r="E685" s="45"/>
    </row>
    <row r="686">
      <c r="E686" s="45"/>
    </row>
    <row r="687">
      <c r="E687" s="45"/>
    </row>
    <row r="688">
      <c r="E688" s="45"/>
    </row>
    <row r="689">
      <c r="E689" s="45"/>
    </row>
    <row r="690">
      <c r="E690" s="45"/>
    </row>
    <row r="691">
      <c r="E691" s="45"/>
    </row>
    <row r="692">
      <c r="E692" s="45"/>
    </row>
    <row r="693">
      <c r="E693" s="45"/>
    </row>
    <row r="694">
      <c r="E694" s="45"/>
    </row>
    <row r="695">
      <c r="E695" s="45"/>
    </row>
    <row r="696">
      <c r="E696" s="45"/>
    </row>
    <row r="697">
      <c r="E697" s="45"/>
    </row>
    <row r="698">
      <c r="E698" s="45"/>
    </row>
    <row r="699">
      <c r="E699" s="45"/>
    </row>
    <row r="700">
      <c r="E700" s="45"/>
    </row>
    <row r="701">
      <c r="E701" s="45"/>
    </row>
    <row r="702">
      <c r="E702" s="45"/>
    </row>
    <row r="703">
      <c r="E703" s="45"/>
    </row>
    <row r="704">
      <c r="E704" s="45"/>
    </row>
    <row r="705">
      <c r="E705" s="45"/>
    </row>
    <row r="706">
      <c r="E706" s="45"/>
    </row>
    <row r="707">
      <c r="E707" s="45"/>
    </row>
    <row r="708">
      <c r="E708" s="45"/>
    </row>
    <row r="709">
      <c r="E709" s="45"/>
    </row>
    <row r="710">
      <c r="E710" s="45"/>
    </row>
    <row r="711">
      <c r="E711" s="45"/>
    </row>
    <row r="712">
      <c r="E712" s="45"/>
    </row>
    <row r="713">
      <c r="E713" s="45"/>
    </row>
    <row r="714">
      <c r="E714" s="45"/>
    </row>
    <row r="715">
      <c r="E715" s="45"/>
    </row>
    <row r="716">
      <c r="E716" s="45"/>
    </row>
    <row r="717">
      <c r="E717" s="45"/>
    </row>
    <row r="718">
      <c r="E718" s="45"/>
    </row>
    <row r="719">
      <c r="E719" s="45"/>
    </row>
    <row r="720">
      <c r="E720" s="45"/>
    </row>
    <row r="721">
      <c r="E721" s="45"/>
    </row>
    <row r="722">
      <c r="E722" s="45"/>
    </row>
    <row r="723">
      <c r="E723" s="45"/>
    </row>
    <row r="724">
      <c r="E724" s="45"/>
    </row>
    <row r="725">
      <c r="E725" s="45"/>
    </row>
    <row r="726">
      <c r="E726" s="45"/>
    </row>
    <row r="727">
      <c r="E727" s="45"/>
    </row>
    <row r="728">
      <c r="E728" s="45"/>
    </row>
    <row r="729">
      <c r="E729" s="45"/>
    </row>
    <row r="730">
      <c r="E730" s="45"/>
    </row>
    <row r="731">
      <c r="E731" s="45"/>
    </row>
    <row r="732">
      <c r="E732" s="45"/>
    </row>
    <row r="733">
      <c r="E733" s="45"/>
    </row>
    <row r="734">
      <c r="E734" s="45"/>
    </row>
    <row r="735">
      <c r="E735" s="45"/>
    </row>
    <row r="736">
      <c r="E736" s="45"/>
    </row>
    <row r="737">
      <c r="E737" s="45"/>
    </row>
    <row r="738">
      <c r="E738" s="45"/>
    </row>
    <row r="739">
      <c r="E739" s="45"/>
    </row>
    <row r="740">
      <c r="E740" s="45"/>
    </row>
    <row r="741">
      <c r="E741" s="45"/>
    </row>
    <row r="742">
      <c r="E742" s="45"/>
    </row>
    <row r="743">
      <c r="E743" s="45"/>
    </row>
    <row r="744">
      <c r="E744" s="45"/>
    </row>
    <row r="745">
      <c r="E745" s="45"/>
    </row>
    <row r="746">
      <c r="E746" s="45"/>
    </row>
    <row r="747">
      <c r="E747" s="45"/>
    </row>
    <row r="748">
      <c r="E748" s="45"/>
    </row>
    <row r="749">
      <c r="E749" s="45"/>
    </row>
    <row r="750">
      <c r="E750" s="45"/>
    </row>
    <row r="751">
      <c r="E751" s="45"/>
    </row>
    <row r="752">
      <c r="E752" s="45"/>
    </row>
    <row r="753">
      <c r="E753" s="45"/>
    </row>
    <row r="754">
      <c r="E754" s="45"/>
    </row>
    <row r="755">
      <c r="E755" s="45"/>
    </row>
    <row r="756">
      <c r="E756" s="45"/>
    </row>
    <row r="757">
      <c r="E757" s="45"/>
    </row>
    <row r="758">
      <c r="E758" s="45"/>
    </row>
    <row r="759">
      <c r="E759" s="45"/>
    </row>
    <row r="760">
      <c r="E760" s="45"/>
    </row>
    <row r="761">
      <c r="E761" s="45"/>
    </row>
    <row r="762">
      <c r="E762" s="45"/>
    </row>
    <row r="763">
      <c r="E763" s="45"/>
    </row>
    <row r="764">
      <c r="E764" s="45"/>
    </row>
    <row r="765">
      <c r="E765" s="45"/>
    </row>
    <row r="766">
      <c r="E766" s="45"/>
    </row>
    <row r="767">
      <c r="E767" s="45"/>
    </row>
    <row r="768">
      <c r="E768" s="45"/>
    </row>
    <row r="769">
      <c r="E769" s="45"/>
    </row>
    <row r="770">
      <c r="E770" s="45"/>
    </row>
    <row r="771">
      <c r="E771" s="45"/>
    </row>
    <row r="772">
      <c r="E772" s="45"/>
    </row>
    <row r="773">
      <c r="E773" s="45"/>
    </row>
    <row r="774">
      <c r="E774" s="45"/>
    </row>
    <row r="775">
      <c r="E775" s="45"/>
    </row>
    <row r="776">
      <c r="E776" s="45"/>
    </row>
    <row r="777">
      <c r="E777" s="45"/>
    </row>
    <row r="778">
      <c r="E778" s="45"/>
    </row>
    <row r="779">
      <c r="E779" s="45"/>
    </row>
    <row r="780">
      <c r="E780" s="45"/>
    </row>
    <row r="781">
      <c r="E781" s="45"/>
    </row>
    <row r="782">
      <c r="E782" s="45"/>
    </row>
    <row r="783">
      <c r="E783" s="45"/>
    </row>
    <row r="784">
      <c r="E784" s="45"/>
    </row>
    <row r="785">
      <c r="E785" s="45"/>
    </row>
    <row r="786">
      <c r="E786" s="45"/>
    </row>
    <row r="787">
      <c r="E787" s="45"/>
    </row>
    <row r="788">
      <c r="E788" s="45"/>
    </row>
    <row r="789">
      <c r="E789" s="45"/>
    </row>
    <row r="790">
      <c r="E790" s="45"/>
    </row>
    <row r="791">
      <c r="E791" s="45"/>
    </row>
    <row r="792">
      <c r="E792" s="45"/>
    </row>
    <row r="793">
      <c r="E793" s="45"/>
    </row>
    <row r="794">
      <c r="E794" s="45"/>
    </row>
    <row r="795">
      <c r="E795" s="45"/>
    </row>
    <row r="796">
      <c r="E796" s="45"/>
    </row>
    <row r="797">
      <c r="E797" s="45"/>
    </row>
    <row r="798">
      <c r="E798" s="45"/>
    </row>
    <row r="799">
      <c r="E799" s="45"/>
    </row>
    <row r="800">
      <c r="E800" s="45"/>
    </row>
    <row r="801">
      <c r="E801" s="45"/>
    </row>
    <row r="802">
      <c r="E802" s="45"/>
    </row>
    <row r="803">
      <c r="E803" s="45"/>
    </row>
    <row r="804">
      <c r="E804" s="45"/>
    </row>
    <row r="805">
      <c r="E805" s="45"/>
    </row>
    <row r="806">
      <c r="E806" s="45"/>
    </row>
    <row r="807">
      <c r="E807" s="45"/>
    </row>
    <row r="808">
      <c r="E808" s="45"/>
    </row>
    <row r="809">
      <c r="E809" s="45"/>
    </row>
    <row r="810">
      <c r="E810" s="45"/>
    </row>
    <row r="811">
      <c r="E811" s="45"/>
    </row>
    <row r="812">
      <c r="E812" s="45"/>
    </row>
    <row r="813">
      <c r="E813" s="45"/>
    </row>
    <row r="814">
      <c r="E814" s="45"/>
    </row>
    <row r="815">
      <c r="E815" s="45"/>
    </row>
    <row r="816">
      <c r="E816" s="45"/>
    </row>
    <row r="817">
      <c r="E817" s="45"/>
    </row>
    <row r="818">
      <c r="E818" s="45"/>
    </row>
    <row r="819">
      <c r="E819" s="45"/>
    </row>
    <row r="820">
      <c r="E820" s="45"/>
    </row>
    <row r="821">
      <c r="E821" s="45"/>
    </row>
    <row r="822">
      <c r="E822" s="45"/>
    </row>
    <row r="823">
      <c r="E823" s="45"/>
    </row>
    <row r="824">
      <c r="E824" s="45"/>
    </row>
    <row r="825">
      <c r="E825" s="45"/>
    </row>
    <row r="826">
      <c r="E826" s="45"/>
    </row>
    <row r="827">
      <c r="E827" s="45"/>
    </row>
    <row r="828">
      <c r="E828" s="45"/>
    </row>
    <row r="829">
      <c r="E829" s="45"/>
    </row>
    <row r="830">
      <c r="E830" s="45"/>
    </row>
    <row r="831">
      <c r="E831" s="45"/>
    </row>
    <row r="832">
      <c r="E832" s="45"/>
    </row>
    <row r="833">
      <c r="E833" s="45"/>
    </row>
    <row r="834">
      <c r="E834" s="45"/>
    </row>
    <row r="835">
      <c r="E835" s="45"/>
    </row>
    <row r="836">
      <c r="E836" s="45"/>
    </row>
    <row r="837">
      <c r="E837" s="45"/>
    </row>
    <row r="838">
      <c r="E838" s="45"/>
    </row>
    <row r="839">
      <c r="E839" s="45"/>
    </row>
    <row r="840">
      <c r="E840" s="45"/>
    </row>
    <row r="841">
      <c r="E841" s="45"/>
    </row>
    <row r="842">
      <c r="E842" s="45"/>
    </row>
    <row r="843">
      <c r="E843" s="45"/>
    </row>
    <row r="844">
      <c r="E844" s="45"/>
    </row>
    <row r="845">
      <c r="E845" s="45"/>
    </row>
    <row r="846">
      <c r="E846" s="45"/>
    </row>
    <row r="847">
      <c r="E847" s="45"/>
    </row>
    <row r="848">
      <c r="E848" s="45"/>
    </row>
    <row r="849">
      <c r="E849" s="45"/>
    </row>
    <row r="850">
      <c r="E850" s="45"/>
    </row>
    <row r="851">
      <c r="E851" s="45"/>
    </row>
    <row r="852">
      <c r="E852" s="45"/>
    </row>
    <row r="853">
      <c r="E853" s="45"/>
    </row>
    <row r="854">
      <c r="E854" s="45"/>
    </row>
    <row r="855">
      <c r="E855" s="45"/>
    </row>
    <row r="856">
      <c r="E856" s="45"/>
    </row>
    <row r="857">
      <c r="E857" s="45"/>
    </row>
    <row r="858">
      <c r="E858" s="45"/>
    </row>
    <row r="859">
      <c r="E859" s="45"/>
    </row>
    <row r="860">
      <c r="E860" s="45"/>
    </row>
    <row r="861">
      <c r="E861" s="45"/>
    </row>
    <row r="862">
      <c r="E862" s="45"/>
    </row>
    <row r="863">
      <c r="E863" s="45"/>
    </row>
    <row r="864">
      <c r="E864" s="45"/>
    </row>
    <row r="865">
      <c r="E865" s="45"/>
    </row>
    <row r="866">
      <c r="E866" s="45"/>
    </row>
    <row r="867">
      <c r="E867" s="45"/>
    </row>
    <row r="868">
      <c r="E868" s="45"/>
    </row>
    <row r="869">
      <c r="E869" s="45"/>
    </row>
    <row r="870">
      <c r="E870" s="45"/>
    </row>
    <row r="871">
      <c r="E871" s="45"/>
    </row>
    <row r="872">
      <c r="E872" s="45"/>
    </row>
    <row r="873">
      <c r="E873" s="45"/>
    </row>
    <row r="874">
      <c r="E874" s="45"/>
    </row>
    <row r="875">
      <c r="E875" s="45"/>
    </row>
    <row r="876">
      <c r="E876" s="45"/>
    </row>
    <row r="877">
      <c r="E877" s="45"/>
    </row>
    <row r="878">
      <c r="E878" s="45"/>
    </row>
    <row r="879">
      <c r="E879" s="45"/>
    </row>
    <row r="880">
      <c r="E880" s="45"/>
    </row>
    <row r="881">
      <c r="E881" s="45"/>
    </row>
    <row r="882">
      <c r="E882" s="45"/>
    </row>
    <row r="883">
      <c r="E883" s="45"/>
    </row>
    <row r="884">
      <c r="E884" s="45"/>
    </row>
    <row r="885">
      <c r="E885" s="45"/>
    </row>
    <row r="886">
      <c r="E886" s="45"/>
    </row>
    <row r="887">
      <c r="E887" s="45"/>
    </row>
    <row r="888">
      <c r="E888" s="45"/>
    </row>
    <row r="889">
      <c r="E889" s="45"/>
    </row>
    <row r="890">
      <c r="E890" s="45"/>
    </row>
    <row r="891">
      <c r="E891" s="45"/>
    </row>
    <row r="892">
      <c r="E892" s="45"/>
    </row>
    <row r="893">
      <c r="E893" s="45"/>
    </row>
    <row r="894">
      <c r="E894" s="45"/>
    </row>
    <row r="895">
      <c r="E895" s="45"/>
    </row>
    <row r="896">
      <c r="E896" s="45"/>
    </row>
    <row r="897">
      <c r="E897" s="45"/>
    </row>
    <row r="898">
      <c r="E898" s="45"/>
    </row>
    <row r="899">
      <c r="E899" s="45"/>
    </row>
    <row r="900">
      <c r="E900" s="45"/>
    </row>
    <row r="901">
      <c r="E901" s="45"/>
    </row>
    <row r="902">
      <c r="E902" s="45"/>
    </row>
    <row r="903">
      <c r="E903" s="45"/>
    </row>
    <row r="904">
      <c r="E904" s="45"/>
    </row>
    <row r="905">
      <c r="E905" s="45"/>
    </row>
    <row r="906">
      <c r="E906" s="45"/>
    </row>
    <row r="907">
      <c r="E907" s="45"/>
    </row>
    <row r="908">
      <c r="E908" s="45"/>
    </row>
    <row r="909">
      <c r="E909" s="45"/>
    </row>
    <row r="910">
      <c r="E910" s="45"/>
    </row>
    <row r="911">
      <c r="E911" s="45"/>
    </row>
    <row r="912">
      <c r="E912" s="45"/>
    </row>
    <row r="913">
      <c r="E913" s="45"/>
    </row>
    <row r="914">
      <c r="E914" s="45"/>
    </row>
    <row r="915">
      <c r="E915" s="45"/>
    </row>
    <row r="916">
      <c r="E916" s="45"/>
    </row>
    <row r="917">
      <c r="E917" s="45"/>
    </row>
    <row r="918">
      <c r="E918" s="45"/>
    </row>
    <row r="919">
      <c r="E919" s="45"/>
    </row>
    <row r="920">
      <c r="E920" s="45"/>
    </row>
    <row r="921">
      <c r="E921" s="45"/>
    </row>
    <row r="922">
      <c r="E922" s="45"/>
    </row>
    <row r="923">
      <c r="E923" s="45"/>
    </row>
    <row r="924">
      <c r="E924" s="45"/>
    </row>
    <row r="925">
      <c r="E925" s="45"/>
    </row>
    <row r="926">
      <c r="E926" s="45"/>
    </row>
    <row r="927">
      <c r="E927" s="45"/>
    </row>
    <row r="928">
      <c r="E928" s="45"/>
    </row>
    <row r="929">
      <c r="E929" s="45"/>
    </row>
    <row r="930">
      <c r="E930" s="45"/>
    </row>
    <row r="931">
      <c r="E931" s="45"/>
    </row>
    <row r="932">
      <c r="E932" s="45"/>
    </row>
    <row r="933">
      <c r="E933" s="45"/>
    </row>
    <row r="934">
      <c r="E934" s="45"/>
    </row>
    <row r="935">
      <c r="E935" s="45"/>
    </row>
    <row r="936">
      <c r="E936" s="45"/>
    </row>
    <row r="937">
      <c r="E937" s="45"/>
    </row>
    <row r="938">
      <c r="E938" s="45"/>
    </row>
    <row r="939">
      <c r="E939" s="45"/>
    </row>
    <row r="940">
      <c r="E940" s="45"/>
    </row>
    <row r="941">
      <c r="E941" s="45"/>
    </row>
    <row r="942">
      <c r="E942" s="45"/>
    </row>
    <row r="943">
      <c r="E943" s="45"/>
    </row>
    <row r="944">
      <c r="E944" s="45"/>
    </row>
    <row r="945">
      <c r="E945" s="45"/>
    </row>
    <row r="946">
      <c r="E946" s="45"/>
    </row>
    <row r="947">
      <c r="E947" s="45"/>
    </row>
    <row r="948">
      <c r="E948" s="45"/>
    </row>
    <row r="949">
      <c r="E949" s="45"/>
    </row>
    <row r="950">
      <c r="E950" s="45"/>
    </row>
    <row r="951">
      <c r="E951" s="45"/>
    </row>
    <row r="952">
      <c r="E952" s="45"/>
    </row>
    <row r="953">
      <c r="E953" s="45"/>
    </row>
    <row r="954">
      <c r="E954" s="45"/>
    </row>
    <row r="955">
      <c r="E955" s="45"/>
    </row>
    <row r="956">
      <c r="E956" s="45"/>
    </row>
    <row r="957">
      <c r="E957" s="45"/>
    </row>
    <row r="958">
      <c r="E958" s="45"/>
    </row>
    <row r="959">
      <c r="E959" s="45"/>
    </row>
    <row r="960">
      <c r="E960" s="45"/>
    </row>
    <row r="961">
      <c r="E961" s="45"/>
    </row>
    <row r="962">
      <c r="E962" s="45"/>
    </row>
    <row r="963">
      <c r="E963" s="45"/>
    </row>
    <row r="964">
      <c r="E964" s="45"/>
    </row>
    <row r="965">
      <c r="E965" s="45"/>
    </row>
    <row r="966">
      <c r="E966" s="45"/>
    </row>
    <row r="967">
      <c r="E967" s="45"/>
    </row>
    <row r="968">
      <c r="E968" s="45"/>
    </row>
    <row r="969">
      <c r="E969" s="45"/>
    </row>
    <row r="970">
      <c r="E970" s="45"/>
    </row>
    <row r="971">
      <c r="E971" s="45"/>
    </row>
    <row r="972">
      <c r="E972" s="45"/>
    </row>
    <row r="973">
      <c r="E973" s="45"/>
    </row>
    <row r="974">
      <c r="E974" s="45"/>
    </row>
    <row r="975">
      <c r="E975" s="45"/>
    </row>
    <row r="976">
      <c r="E976" s="45"/>
    </row>
    <row r="977">
      <c r="E977" s="45"/>
    </row>
    <row r="978">
      <c r="E978" s="45"/>
    </row>
    <row r="979">
      <c r="E979" s="45"/>
    </row>
    <row r="980">
      <c r="E980" s="45"/>
    </row>
    <row r="981">
      <c r="E981" s="45"/>
    </row>
    <row r="982">
      <c r="E982" s="45"/>
    </row>
    <row r="983">
      <c r="E983" s="45"/>
    </row>
    <row r="984">
      <c r="E984" s="45"/>
    </row>
    <row r="985">
      <c r="E985" s="45"/>
    </row>
    <row r="986">
      <c r="E986" s="45"/>
    </row>
    <row r="987">
      <c r="E987" s="45"/>
    </row>
    <row r="988">
      <c r="E988" s="45"/>
    </row>
    <row r="989">
      <c r="E989" s="45"/>
    </row>
    <row r="990">
      <c r="E990" s="45"/>
    </row>
    <row r="991">
      <c r="E991" s="45"/>
    </row>
    <row r="992">
      <c r="E992" s="45"/>
    </row>
    <row r="993">
      <c r="E993" s="45"/>
    </row>
    <row r="994">
      <c r="E994" s="45"/>
    </row>
    <row r="995">
      <c r="E995" s="45"/>
    </row>
    <row r="996">
      <c r="E996" s="45"/>
    </row>
    <row r="997">
      <c r="E997" s="45"/>
    </row>
    <row r="998">
      <c r="E998" s="45"/>
    </row>
    <row r="999">
      <c r="E999" s="45"/>
    </row>
    <row r="1000">
      <c r="E1000" s="45"/>
    </row>
  </sheetData>
  <dataValidations>
    <dataValidation type="list" allowBlank="1" sqref="F3:F11">
      <formula1>"OPEN,BLOCKED,PASSED,FAILED"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5.38"/>
    <col customWidth="1" min="2" max="2" width="61.13"/>
    <col customWidth="1" min="3" max="3" width="50.13"/>
    <col customWidth="1" min="4" max="4" width="48.38"/>
    <col customWidth="1" min="5" max="5" width="56.63"/>
    <col customWidth="1" min="6" max="6" width="21.63"/>
    <col customWidth="1" min="7" max="7" width="22.75"/>
  </cols>
  <sheetData>
    <row r="1">
      <c r="A1" s="47" t="s">
        <v>34</v>
      </c>
      <c r="B1" s="67" t="s">
        <v>329</v>
      </c>
      <c r="C1" s="49"/>
      <c r="D1" s="49"/>
      <c r="E1" s="49"/>
      <c r="F1" s="49"/>
      <c r="G1" s="49"/>
    </row>
    <row r="2">
      <c r="A2" s="51" t="s">
        <v>14</v>
      </c>
      <c r="B2" s="51" t="s">
        <v>16</v>
      </c>
      <c r="C2" s="52" t="s">
        <v>18</v>
      </c>
      <c r="D2" s="52" t="s">
        <v>20</v>
      </c>
      <c r="E2" s="52" t="s">
        <v>219</v>
      </c>
      <c r="F2" s="52" t="s">
        <v>24</v>
      </c>
      <c r="G2" s="52" t="s">
        <v>26</v>
      </c>
    </row>
    <row r="3">
      <c r="A3" s="53" t="str">
        <f>IF(B3&lt;&gt;"", "US-5-TC-" &amp; TEXT(COUNTA($B3:B$3), "00"), "")
</f>
        <v>US-5-TC-01</v>
      </c>
      <c r="B3" s="53" t="s">
        <v>330</v>
      </c>
      <c r="C3" s="54" t="s">
        <v>331</v>
      </c>
      <c r="D3" s="54" t="s">
        <v>332</v>
      </c>
      <c r="E3" s="55" t="s">
        <v>333</v>
      </c>
      <c r="F3" s="55" t="s">
        <v>53</v>
      </c>
      <c r="G3" s="55"/>
    </row>
    <row r="4">
      <c r="A4" s="53" t="str">
        <f t="shared" ref="A4:A62" si="1">IF(B4&lt;&gt;"", "US-5-TC-" &amp; TEXT(COUNTA($B$3:B4), "00"), "")
</f>
        <v>US-5-TC-02</v>
      </c>
      <c r="B4" s="53" t="s">
        <v>334</v>
      </c>
      <c r="C4" s="54" t="s">
        <v>331</v>
      </c>
      <c r="D4" s="54" t="s">
        <v>332</v>
      </c>
      <c r="E4" s="55" t="s">
        <v>333</v>
      </c>
      <c r="F4" s="55" t="s">
        <v>53</v>
      </c>
      <c r="G4" s="55"/>
    </row>
    <row r="5">
      <c r="A5" s="53" t="str">
        <f t="shared" si="1"/>
        <v>US-5-TC-03</v>
      </c>
      <c r="B5" s="53" t="s">
        <v>335</v>
      </c>
      <c r="C5" s="54" t="s">
        <v>331</v>
      </c>
      <c r="D5" s="54" t="s">
        <v>332</v>
      </c>
      <c r="E5" s="55" t="s">
        <v>333</v>
      </c>
      <c r="F5" s="55" t="s">
        <v>53</v>
      </c>
      <c r="G5" s="55"/>
    </row>
    <row r="6">
      <c r="A6" s="53" t="str">
        <f t="shared" si="1"/>
        <v>US-5-TC-04</v>
      </c>
      <c r="B6" s="53" t="s">
        <v>336</v>
      </c>
      <c r="C6" s="54" t="s">
        <v>331</v>
      </c>
      <c r="D6" s="54" t="s">
        <v>332</v>
      </c>
      <c r="E6" s="55" t="s">
        <v>337</v>
      </c>
      <c r="F6" s="55" t="s">
        <v>53</v>
      </c>
      <c r="G6" s="56"/>
    </row>
    <row r="7">
      <c r="A7" s="53" t="str">
        <f t="shared" si="1"/>
        <v>US-5-TC-05</v>
      </c>
      <c r="B7" s="53" t="s">
        <v>338</v>
      </c>
      <c r="C7" s="54" t="s">
        <v>331</v>
      </c>
      <c r="D7" s="54" t="s">
        <v>332</v>
      </c>
      <c r="E7" s="55" t="s">
        <v>339</v>
      </c>
      <c r="F7" s="55" t="s">
        <v>53</v>
      </c>
      <c r="G7" s="55"/>
    </row>
    <row r="8">
      <c r="A8" s="53" t="str">
        <f t="shared" si="1"/>
        <v>US-5-TC-06</v>
      </c>
      <c r="B8" s="53" t="s">
        <v>340</v>
      </c>
      <c r="C8" s="54" t="s">
        <v>331</v>
      </c>
      <c r="D8" s="54" t="s">
        <v>332</v>
      </c>
      <c r="E8" s="55" t="s">
        <v>341</v>
      </c>
      <c r="F8" s="55" t="s">
        <v>53</v>
      </c>
      <c r="G8" s="55"/>
    </row>
    <row r="9">
      <c r="A9" s="53" t="str">
        <f t="shared" si="1"/>
        <v>US-5-TC-07</v>
      </c>
      <c r="B9" s="53" t="s">
        <v>342</v>
      </c>
      <c r="C9" s="54" t="s">
        <v>331</v>
      </c>
      <c r="D9" s="54" t="s">
        <v>332</v>
      </c>
      <c r="E9" s="55" t="s">
        <v>343</v>
      </c>
      <c r="F9" s="55" t="s">
        <v>53</v>
      </c>
      <c r="G9" s="55"/>
    </row>
    <row r="10">
      <c r="A10" s="53" t="str">
        <f t="shared" si="1"/>
        <v>US-5-TC-08</v>
      </c>
      <c r="B10" s="64" t="s">
        <v>344</v>
      </c>
      <c r="C10" s="54" t="s">
        <v>331</v>
      </c>
      <c r="D10" s="54" t="s">
        <v>332</v>
      </c>
      <c r="E10" s="55" t="s">
        <v>345</v>
      </c>
      <c r="F10" s="55" t="s">
        <v>53</v>
      </c>
      <c r="G10" s="56"/>
    </row>
    <row r="11">
      <c r="A11" s="53" t="str">
        <f t="shared" si="1"/>
        <v>US-5-TC-09</v>
      </c>
      <c r="B11" s="53" t="s">
        <v>346</v>
      </c>
      <c r="C11" s="54" t="s">
        <v>331</v>
      </c>
      <c r="D11" s="54" t="s">
        <v>332</v>
      </c>
      <c r="E11" s="55" t="s">
        <v>347</v>
      </c>
      <c r="F11" s="55" t="s">
        <v>53</v>
      </c>
      <c r="G11" s="56"/>
    </row>
    <row r="12">
      <c r="A12" s="53" t="str">
        <f t="shared" si="1"/>
        <v>US-5-TC-10</v>
      </c>
      <c r="B12" s="53" t="s">
        <v>348</v>
      </c>
      <c r="C12" s="54" t="s">
        <v>331</v>
      </c>
      <c r="D12" s="54" t="s">
        <v>332</v>
      </c>
      <c r="E12" s="55" t="s">
        <v>349</v>
      </c>
      <c r="F12" s="55" t="s">
        <v>53</v>
      </c>
      <c r="G12" s="56"/>
    </row>
    <row r="13">
      <c r="A13" s="53" t="str">
        <f t="shared" si="1"/>
        <v>US-5-TC-11</v>
      </c>
      <c r="B13" s="53" t="s">
        <v>350</v>
      </c>
      <c r="C13" s="54" t="s">
        <v>331</v>
      </c>
      <c r="D13" s="54" t="s">
        <v>351</v>
      </c>
      <c r="E13" s="55" t="s">
        <v>352</v>
      </c>
      <c r="F13" s="55" t="s">
        <v>53</v>
      </c>
      <c r="G13" s="56"/>
      <c r="H13" s="50"/>
      <c r="I13" s="50"/>
      <c r="J13" s="50"/>
      <c r="K13" s="50"/>
      <c r="L13" s="50"/>
      <c r="M13" s="50"/>
      <c r="N13" s="50"/>
      <c r="O13" s="50"/>
      <c r="P13" s="50"/>
      <c r="Q13" s="50"/>
      <c r="R13" s="50"/>
      <c r="S13" s="50"/>
      <c r="T13" s="50"/>
      <c r="U13" s="50"/>
      <c r="V13" s="50"/>
      <c r="W13" s="50"/>
      <c r="X13" s="50"/>
      <c r="Y13" s="50"/>
      <c r="Z13" s="50"/>
    </row>
    <row r="14">
      <c r="A14" s="53" t="str">
        <f t="shared" si="1"/>
        <v>US-5-TC-12</v>
      </c>
      <c r="B14" s="53" t="s">
        <v>353</v>
      </c>
      <c r="C14" s="54" t="s">
        <v>331</v>
      </c>
      <c r="D14" s="54" t="s">
        <v>351</v>
      </c>
      <c r="E14" s="55" t="s">
        <v>352</v>
      </c>
      <c r="F14" s="55" t="s">
        <v>53</v>
      </c>
      <c r="G14" s="56"/>
      <c r="H14" s="50"/>
      <c r="I14" s="50"/>
      <c r="J14" s="50"/>
      <c r="K14" s="50"/>
      <c r="L14" s="50"/>
      <c r="M14" s="50"/>
      <c r="N14" s="50"/>
      <c r="O14" s="50"/>
      <c r="P14" s="50"/>
      <c r="Q14" s="50"/>
      <c r="R14" s="50"/>
      <c r="S14" s="50"/>
      <c r="T14" s="50"/>
      <c r="U14" s="50"/>
      <c r="V14" s="50"/>
      <c r="W14" s="50"/>
      <c r="X14" s="50"/>
      <c r="Y14" s="50"/>
      <c r="Z14" s="50"/>
    </row>
    <row r="15">
      <c r="A15" s="53" t="str">
        <f t="shared" si="1"/>
        <v>US-5-TC-13</v>
      </c>
      <c r="B15" s="53" t="s">
        <v>354</v>
      </c>
      <c r="C15" s="54" t="s">
        <v>331</v>
      </c>
      <c r="D15" s="54" t="s">
        <v>355</v>
      </c>
      <c r="E15" s="55" t="s">
        <v>356</v>
      </c>
      <c r="F15" s="55" t="s">
        <v>53</v>
      </c>
      <c r="G15" s="56"/>
      <c r="H15" s="50"/>
      <c r="I15" s="50"/>
      <c r="J15" s="50"/>
      <c r="K15" s="50"/>
      <c r="L15" s="50"/>
      <c r="M15" s="50"/>
      <c r="N15" s="50"/>
      <c r="O15" s="50"/>
      <c r="P15" s="50"/>
      <c r="Q15" s="50"/>
      <c r="R15" s="50"/>
      <c r="S15" s="50"/>
      <c r="T15" s="50"/>
      <c r="U15" s="50"/>
      <c r="V15" s="50"/>
      <c r="W15" s="50"/>
      <c r="X15" s="50"/>
      <c r="Y15" s="50"/>
      <c r="Z15" s="50"/>
    </row>
    <row r="16">
      <c r="A16" s="53" t="str">
        <f t="shared" si="1"/>
        <v>US-5-TC-14</v>
      </c>
      <c r="B16" s="53" t="s">
        <v>357</v>
      </c>
      <c r="C16" s="54" t="s">
        <v>331</v>
      </c>
      <c r="D16" s="54" t="s">
        <v>358</v>
      </c>
      <c r="E16" s="55" t="s">
        <v>359</v>
      </c>
      <c r="F16" s="55" t="s">
        <v>53</v>
      </c>
      <c r="G16" s="56"/>
      <c r="H16" s="50"/>
      <c r="I16" s="50"/>
      <c r="J16" s="50"/>
      <c r="K16" s="50"/>
      <c r="L16" s="50"/>
      <c r="M16" s="50"/>
      <c r="N16" s="50"/>
      <c r="O16" s="50"/>
      <c r="P16" s="50"/>
      <c r="Q16" s="50"/>
      <c r="R16" s="50"/>
      <c r="S16" s="50"/>
      <c r="T16" s="50"/>
      <c r="U16" s="50"/>
      <c r="V16" s="50"/>
      <c r="W16" s="50"/>
      <c r="X16" s="50"/>
      <c r="Y16" s="50"/>
      <c r="Z16" s="50"/>
    </row>
    <row r="17">
      <c r="A17" s="53" t="str">
        <f t="shared" si="1"/>
        <v>US-5-TC-15</v>
      </c>
      <c r="B17" s="53" t="s">
        <v>360</v>
      </c>
      <c r="C17" s="54" t="s">
        <v>331</v>
      </c>
      <c r="D17" s="54" t="s">
        <v>361</v>
      </c>
      <c r="E17" s="55" t="s">
        <v>362</v>
      </c>
      <c r="F17" s="55" t="s">
        <v>53</v>
      </c>
      <c r="G17" s="56"/>
      <c r="H17" s="50"/>
      <c r="I17" s="50"/>
      <c r="J17" s="50"/>
      <c r="K17" s="50"/>
      <c r="L17" s="50"/>
      <c r="M17" s="50"/>
      <c r="N17" s="50"/>
      <c r="O17" s="50"/>
      <c r="P17" s="50"/>
      <c r="Q17" s="50"/>
      <c r="R17" s="50"/>
      <c r="S17" s="50"/>
      <c r="T17" s="50"/>
      <c r="U17" s="50"/>
      <c r="V17" s="50"/>
      <c r="W17" s="50"/>
      <c r="X17" s="50"/>
      <c r="Y17" s="50"/>
      <c r="Z17" s="50"/>
    </row>
    <row r="18">
      <c r="A18" s="53" t="str">
        <f t="shared" si="1"/>
        <v>US-5-TC-16</v>
      </c>
      <c r="B18" s="53" t="s">
        <v>363</v>
      </c>
      <c r="C18" s="54" t="s">
        <v>331</v>
      </c>
      <c r="D18" s="54" t="s">
        <v>361</v>
      </c>
      <c r="E18" s="55" t="s">
        <v>362</v>
      </c>
      <c r="F18" s="55" t="s">
        <v>53</v>
      </c>
      <c r="G18" s="56"/>
      <c r="H18" s="50"/>
      <c r="I18" s="50"/>
      <c r="J18" s="50"/>
      <c r="K18" s="50"/>
      <c r="L18" s="50"/>
      <c r="M18" s="50"/>
      <c r="N18" s="50"/>
      <c r="O18" s="50"/>
      <c r="P18" s="50"/>
      <c r="Q18" s="50"/>
      <c r="R18" s="50"/>
      <c r="S18" s="50"/>
      <c r="T18" s="50"/>
      <c r="U18" s="50"/>
      <c r="V18" s="50"/>
      <c r="W18" s="50"/>
      <c r="X18" s="50"/>
      <c r="Y18" s="50"/>
      <c r="Z18" s="50"/>
    </row>
    <row r="19">
      <c r="A19" s="53" t="str">
        <f t="shared" si="1"/>
        <v>US-5-TC-17</v>
      </c>
      <c r="B19" s="53" t="s">
        <v>364</v>
      </c>
      <c r="C19" s="54" t="s">
        <v>331</v>
      </c>
      <c r="D19" s="54" t="s">
        <v>365</v>
      </c>
      <c r="E19" s="55" t="s">
        <v>366</v>
      </c>
      <c r="F19" s="55" t="s">
        <v>53</v>
      </c>
      <c r="G19" s="56"/>
      <c r="H19" s="50"/>
      <c r="I19" s="50"/>
      <c r="J19" s="50"/>
      <c r="K19" s="50"/>
      <c r="L19" s="50"/>
      <c r="M19" s="50"/>
      <c r="N19" s="50"/>
      <c r="O19" s="50"/>
      <c r="P19" s="50"/>
      <c r="Q19" s="50"/>
      <c r="R19" s="50"/>
      <c r="S19" s="50"/>
      <c r="T19" s="50"/>
      <c r="U19" s="50"/>
      <c r="V19" s="50"/>
      <c r="W19" s="50"/>
      <c r="X19" s="50"/>
      <c r="Y19" s="50"/>
      <c r="Z19" s="50"/>
    </row>
    <row r="20">
      <c r="A20" s="53" t="str">
        <f t="shared" si="1"/>
        <v>US-5-TC-18</v>
      </c>
      <c r="B20" s="53" t="s">
        <v>367</v>
      </c>
      <c r="C20" s="54" t="s">
        <v>331</v>
      </c>
      <c r="D20" s="54" t="s">
        <v>368</v>
      </c>
      <c r="E20" s="55" t="s">
        <v>369</v>
      </c>
      <c r="F20" s="55" t="s">
        <v>53</v>
      </c>
      <c r="G20" s="56"/>
      <c r="H20" s="50"/>
      <c r="I20" s="50"/>
      <c r="J20" s="50"/>
      <c r="K20" s="50"/>
      <c r="L20" s="50"/>
      <c r="M20" s="50"/>
      <c r="N20" s="50"/>
      <c r="O20" s="50"/>
      <c r="P20" s="50"/>
      <c r="Q20" s="50"/>
      <c r="R20" s="50"/>
      <c r="S20" s="50"/>
      <c r="T20" s="50"/>
      <c r="U20" s="50"/>
      <c r="V20" s="50"/>
      <c r="W20" s="50"/>
      <c r="X20" s="50"/>
      <c r="Y20" s="50"/>
      <c r="Z20" s="50"/>
    </row>
    <row r="21">
      <c r="A21" s="53" t="str">
        <f t="shared" si="1"/>
        <v>US-5-TC-19</v>
      </c>
      <c r="B21" s="53" t="s">
        <v>370</v>
      </c>
      <c r="C21" s="54" t="s">
        <v>331</v>
      </c>
      <c r="D21" s="54" t="s">
        <v>371</v>
      </c>
      <c r="E21" s="55" t="s">
        <v>372</v>
      </c>
      <c r="F21" s="55" t="s">
        <v>53</v>
      </c>
      <c r="G21" s="56"/>
      <c r="H21" s="50"/>
      <c r="I21" s="50"/>
      <c r="J21" s="50"/>
      <c r="K21" s="50"/>
      <c r="L21" s="50"/>
      <c r="M21" s="50"/>
      <c r="N21" s="50"/>
      <c r="O21" s="50"/>
      <c r="P21" s="50"/>
      <c r="Q21" s="50"/>
      <c r="R21" s="50"/>
      <c r="S21" s="50"/>
      <c r="T21" s="50"/>
      <c r="U21" s="50"/>
      <c r="V21" s="50"/>
      <c r="W21" s="50"/>
      <c r="X21" s="50"/>
      <c r="Y21" s="50"/>
      <c r="Z21" s="50"/>
    </row>
    <row r="22">
      <c r="A22" s="53" t="str">
        <f t="shared" si="1"/>
        <v>US-5-TC-20</v>
      </c>
      <c r="B22" s="53" t="s">
        <v>373</v>
      </c>
      <c r="C22" s="54" t="s">
        <v>331</v>
      </c>
      <c r="D22" s="54" t="s">
        <v>371</v>
      </c>
      <c r="E22" s="55" t="s">
        <v>372</v>
      </c>
      <c r="F22" s="55" t="s">
        <v>53</v>
      </c>
      <c r="G22" s="56"/>
      <c r="H22" s="50"/>
      <c r="I22" s="50"/>
      <c r="J22" s="50"/>
      <c r="K22" s="50"/>
      <c r="L22" s="50"/>
      <c r="M22" s="50"/>
      <c r="N22" s="50"/>
      <c r="O22" s="50"/>
      <c r="P22" s="50"/>
      <c r="Q22" s="50"/>
      <c r="R22" s="50"/>
      <c r="S22" s="50"/>
      <c r="T22" s="50"/>
      <c r="U22" s="50"/>
      <c r="V22" s="50"/>
      <c r="W22" s="50"/>
      <c r="X22" s="50"/>
      <c r="Y22" s="50"/>
      <c r="Z22" s="50"/>
    </row>
    <row r="23">
      <c r="A23" s="53" t="str">
        <f t="shared" si="1"/>
        <v>US-5-TC-21</v>
      </c>
      <c r="B23" s="64" t="s">
        <v>374</v>
      </c>
      <c r="C23" s="54" t="s">
        <v>331</v>
      </c>
      <c r="D23" s="54" t="s">
        <v>375</v>
      </c>
      <c r="E23" s="55" t="s">
        <v>376</v>
      </c>
      <c r="F23" s="55" t="s">
        <v>53</v>
      </c>
      <c r="G23" s="56"/>
      <c r="H23" s="50"/>
      <c r="I23" s="50"/>
      <c r="J23" s="50"/>
      <c r="K23" s="50"/>
      <c r="L23" s="50"/>
      <c r="M23" s="50"/>
      <c r="N23" s="50"/>
      <c r="O23" s="50"/>
      <c r="P23" s="50"/>
      <c r="Q23" s="50"/>
      <c r="R23" s="50"/>
      <c r="S23" s="50"/>
      <c r="T23" s="50"/>
      <c r="U23" s="50"/>
      <c r="V23" s="50"/>
      <c r="W23" s="50"/>
      <c r="X23" s="50"/>
      <c r="Y23" s="50"/>
      <c r="Z23" s="50"/>
    </row>
    <row r="24">
      <c r="A24" s="53" t="str">
        <f t="shared" si="1"/>
        <v>US-5-TC-22</v>
      </c>
      <c r="B24" s="64" t="s">
        <v>377</v>
      </c>
      <c r="C24" s="54" t="s">
        <v>331</v>
      </c>
      <c r="D24" s="54" t="s">
        <v>375</v>
      </c>
      <c r="E24" s="55" t="s">
        <v>376</v>
      </c>
      <c r="F24" s="55" t="s">
        <v>53</v>
      </c>
      <c r="G24" s="56"/>
      <c r="H24" s="50"/>
      <c r="I24" s="50"/>
      <c r="J24" s="50"/>
      <c r="K24" s="50"/>
      <c r="L24" s="50"/>
      <c r="M24" s="50"/>
      <c r="N24" s="50"/>
      <c r="O24" s="50"/>
      <c r="P24" s="50"/>
      <c r="Q24" s="50"/>
      <c r="R24" s="50"/>
      <c r="S24" s="50"/>
      <c r="T24" s="50"/>
      <c r="U24" s="50"/>
      <c r="V24" s="50"/>
      <c r="W24" s="50"/>
      <c r="X24" s="50"/>
      <c r="Y24" s="50"/>
      <c r="Z24" s="50"/>
    </row>
    <row r="25">
      <c r="A25" s="53" t="str">
        <f t="shared" si="1"/>
        <v>US-5-TC-23</v>
      </c>
      <c r="B25" s="53" t="s">
        <v>378</v>
      </c>
      <c r="C25" s="54" t="s">
        <v>331</v>
      </c>
      <c r="D25" s="54" t="s">
        <v>379</v>
      </c>
      <c r="E25" s="55" t="s">
        <v>380</v>
      </c>
      <c r="F25" s="55" t="s">
        <v>53</v>
      </c>
      <c r="G25" s="56"/>
      <c r="H25" s="50"/>
      <c r="I25" s="50"/>
      <c r="J25" s="50"/>
      <c r="K25" s="50"/>
      <c r="L25" s="50"/>
      <c r="M25" s="50"/>
      <c r="N25" s="50"/>
      <c r="O25" s="50"/>
      <c r="P25" s="50"/>
      <c r="Q25" s="50"/>
      <c r="R25" s="50"/>
      <c r="S25" s="50"/>
      <c r="T25" s="50"/>
      <c r="U25" s="50"/>
      <c r="V25" s="50"/>
      <c r="W25" s="50"/>
      <c r="X25" s="50"/>
      <c r="Y25" s="50"/>
      <c r="Z25" s="50"/>
    </row>
    <row r="26">
      <c r="A26" s="53" t="str">
        <f t="shared" si="1"/>
        <v>US-5-TC-24</v>
      </c>
      <c r="B26" s="53" t="s">
        <v>381</v>
      </c>
      <c r="C26" s="54" t="s">
        <v>331</v>
      </c>
      <c r="D26" s="54" t="s">
        <v>379</v>
      </c>
      <c r="E26" s="55" t="s">
        <v>380</v>
      </c>
      <c r="F26" s="55" t="s">
        <v>53</v>
      </c>
      <c r="G26" s="56"/>
      <c r="H26" s="50"/>
      <c r="I26" s="50"/>
      <c r="J26" s="50"/>
      <c r="K26" s="50"/>
      <c r="L26" s="50"/>
      <c r="M26" s="50"/>
      <c r="N26" s="50"/>
      <c r="O26" s="50"/>
      <c r="P26" s="50"/>
      <c r="Q26" s="50"/>
      <c r="R26" s="50"/>
      <c r="S26" s="50"/>
      <c r="T26" s="50"/>
      <c r="U26" s="50"/>
      <c r="V26" s="50"/>
      <c r="W26" s="50"/>
      <c r="X26" s="50"/>
      <c r="Y26" s="50"/>
      <c r="Z26" s="50"/>
    </row>
    <row r="27">
      <c r="A27" s="53" t="str">
        <f t="shared" si="1"/>
        <v>US-5-TC-25</v>
      </c>
      <c r="B27" s="53" t="s">
        <v>382</v>
      </c>
      <c r="C27" s="54" t="s">
        <v>331</v>
      </c>
      <c r="D27" s="54" t="s">
        <v>383</v>
      </c>
      <c r="E27" s="55" t="s">
        <v>384</v>
      </c>
      <c r="F27" s="55" t="s">
        <v>53</v>
      </c>
      <c r="G27" s="56"/>
      <c r="H27" s="50"/>
      <c r="I27" s="50"/>
      <c r="J27" s="50"/>
      <c r="K27" s="50"/>
      <c r="L27" s="50"/>
      <c r="M27" s="50"/>
      <c r="N27" s="50"/>
      <c r="O27" s="50"/>
      <c r="P27" s="50"/>
      <c r="Q27" s="50"/>
      <c r="R27" s="50"/>
      <c r="S27" s="50"/>
      <c r="T27" s="50"/>
      <c r="U27" s="50"/>
      <c r="V27" s="50"/>
      <c r="W27" s="50"/>
      <c r="X27" s="50"/>
      <c r="Y27" s="50"/>
      <c r="Z27" s="50"/>
    </row>
    <row r="28">
      <c r="A28" s="53" t="str">
        <f t="shared" si="1"/>
        <v>US-5-TC-26</v>
      </c>
      <c r="B28" s="53" t="s">
        <v>385</v>
      </c>
      <c r="C28" s="54" t="s">
        <v>331</v>
      </c>
      <c r="D28" s="54" t="s">
        <v>386</v>
      </c>
      <c r="E28" s="55" t="s">
        <v>387</v>
      </c>
      <c r="F28" s="55" t="s">
        <v>53</v>
      </c>
      <c r="G28" s="56"/>
      <c r="H28" s="50"/>
      <c r="I28" s="50"/>
      <c r="J28" s="50"/>
      <c r="K28" s="50"/>
      <c r="L28" s="50"/>
      <c r="M28" s="50"/>
      <c r="N28" s="50"/>
      <c r="O28" s="50"/>
      <c r="P28" s="50"/>
      <c r="Q28" s="50"/>
      <c r="R28" s="50"/>
      <c r="S28" s="50"/>
      <c r="T28" s="50"/>
      <c r="U28" s="50"/>
      <c r="V28" s="50"/>
      <c r="W28" s="50"/>
      <c r="X28" s="50"/>
      <c r="Y28" s="50"/>
      <c r="Z28" s="50"/>
    </row>
    <row r="29">
      <c r="A29" s="53" t="str">
        <f t="shared" si="1"/>
        <v>US-5-TC-27</v>
      </c>
      <c r="B29" s="71" t="s">
        <v>388</v>
      </c>
      <c r="C29" s="72" t="s">
        <v>331</v>
      </c>
      <c r="D29" s="72" t="s">
        <v>389</v>
      </c>
      <c r="E29" s="71" t="s">
        <v>390</v>
      </c>
      <c r="F29" s="55" t="s">
        <v>53</v>
      </c>
      <c r="G29" s="73"/>
    </row>
    <row r="30">
      <c r="A30" s="53" t="str">
        <f t="shared" si="1"/>
        <v>US-5-TC-28</v>
      </c>
      <c r="B30" s="74" t="s">
        <v>391</v>
      </c>
      <c r="C30" s="75"/>
      <c r="D30" s="75"/>
      <c r="E30" s="76"/>
      <c r="F30" s="55" t="s">
        <v>53</v>
      </c>
      <c r="G30" s="77"/>
    </row>
    <row r="31">
      <c r="A31" s="53" t="str">
        <f t="shared" si="1"/>
        <v>US-5-TC-29</v>
      </c>
      <c r="B31" s="76" t="s">
        <v>392</v>
      </c>
      <c r="C31" s="75" t="s">
        <v>331</v>
      </c>
      <c r="D31" s="75" t="s">
        <v>393</v>
      </c>
      <c r="E31" s="76" t="s">
        <v>394</v>
      </c>
      <c r="F31" s="55" t="s">
        <v>53</v>
      </c>
      <c r="G31" s="77"/>
    </row>
    <row r="32">
      <c r="A32" s="53" t="str">
        <f t="shared" si="1"/>
        <v>US-5-TC-30</v>
      </c>
      <c r="B32" s="78" t="s">
        <v>395</v>
      </c>
      <c r="C32" s="75" t="s">
        <v>331</v>
      </c>
      <c r="D32" s="75" t="s">
        <v>393</v>
      </c>
      <c r="E32" s="76" t="s">
        <v>394</v>
      </c>
      <c r="F32" s="55" t="s">
        <v>53</v>
      </c>
      <c r="G32" s="73"/>
    </row>
    <row r="33">
      <c r="A33" s="53" t="str">
        <f t="shared" si="1"/>
        <v>US-5-TC-31</v>
      </c>
      <c r="B33" s="78" t="s">
        <v>396</v>
      </c>
      <c r="C33" s="72" t="s">
        <v>331</v>
      </c>
      <c r="D33" s="72" t="s">
        <v>397</v>
      </c>
      <c r="E33" s="71" t="s">
        <v>398</v>
      </c>
      <c r="F33" s="55" t="s">
        <v>53</v>
      </c>
      <c r="G33" s="73"/>
    </row>
    <row r="34">
      <c r="A34" s="53" t="str">
        <f t="shared" si="1"/>
        <v>US-5-TC-32</v>
      </c>
      <c r="B34" s="76" t="s">
        <v>399</v>
      </c>
      <c r="C34" s="75" t="s">
        <v>331</v>
      </c>
      <c r="D34" s="75" t="s">
        <v>400</v>
      </c>
      <c r="E34" s="76" t="s">
        <v>401</v>
      </c>
      <c r="F34" s="55" t="s">
        <v>53</v>
      </c>
      <c r="G34" s="77"/>
    </row>
    <row r="35">
      <c r="A35" s="53" t="str">
        <f t="shared" si="1"/>
        <v>US-5-TC-33</v>
      </c>
      <c r="B35" s="71" t="s">
        <v>402</v>
      </c>
      <c r="C35" s="72" t="s">
        <v>331</v>
      </c>
      <c r="D35" s="72" t="s">
        <v>403</v>
      </c>
      <c r="E35" s="71" t="s">
        <v>404</v>
      </c>
      <c r="F35" s="55" t="s">
        <v>53</v>
      </c>
      <c r="G35" s="73"/>
    </row>
    <row r="36">
      <c r="A36" s="53" t="str">
        <f t="shared" si="1"/>
        <v>US-5-TC-34</v>
      </c>
      <c r="B36" s="76" t="s">
        <v>405</v>
      </c>
      <c r="C36" s="75" t="s">
        <v>331</v>
      </c>
      <c r="D36" s="76" t="s">
        <v>406</v>
      </c>
      <c r="E36" s="76" t="s">
        <v>407</v>
      </c>
      <c r="F36" s="55" t="s">
        <v>53</v>
      </c>
      <c r="G36" s="77"/>
    </row>
    <row r="37">
      <c r="A37" s="53" t="str">
        <f t="shared" si="1"/>
        <v>US-5-TC-35</v>
      </c>
      <c r="B37" s="78" t="s">
        <v>408</v>
      </c>
      <c r="C37" s="75" t="s">
        <v>331</v>
      </c>
      <c r="D37" s="76" t="s">
        <v>406</v>
      </c>
      <c r="E37" s="71" t="s">
        <v>404</v>
      </c>
      <c r="F37" s="55" t="s">
        <v>53</v>
      </c>
      <c r="G37" s="73"/>
    </row>
    <row r="38">
      <c r="A38" s="53" t="str">
        <f t="shared" si="1"/>
        <v>US-5-TC-36</v>
      </c>
      <c r="B38" s="78" t="s">
        <v>409</v>
      </c>
      <c r="C38" s="75" t="s">
        <v>331</v>
      </c>
      <c r="D38" s="76" t="s">
        <v>406</v>
      </c>
      <c r="E38" s="76" t="s">
        <v>407</v>
      </c>
      <c r="F38" s="55" t="s">
        <v>53</v>
      </c>
      <c r="G38" s="73"/>
    </row>
    <row r="39">
      <c r="A39" s="53" t="str">
        <f t="shared" si="1"/>
        <v>US-5-TC-37</v>
      </c>
      <c r="B39" s="71" t="s">
        <v>410</v>
      </c>
      <c r="C39" s="72" t="s">
        <v>331</v>
      </c>
      <c r="D39" s="76" t="s">
        <v>411</v>
      </c>
      <c r="E39" s="71" t="s">
        <v>412</v>
      </c>
      <c r="F39" s="55" t="s">
        <v>53</v>
      </c>
      <c r="G39" s="73"/>
    </row>
    <row r="40">
      <c r="A40" s="53" t="str">
        <f t="shared" si="1"/>
        <v>US-5-TC-38</v>
      </c>
      <c r="B40" s="53" t="s">
        <v>413</v>
      </c>
      <c r="C40" s="54" t="s">
        <v>331</v>
      </c>
      <c r="D40" s="62" t="s">
        <v>414</v>
      </c>
      <c r="E40" s="55" t="s">
        <v>415</v>
      </c>
      <c r="F40" s="55" t="s">
        <v>53</v>
      </c>
      <c r="G40" s="56"/>
    </row>
    <row r="41">
      <c r="A41" s="53" t="str">
        <f t="shared" si="1"/>
        <v>US-5-TC-39</v>
      </c>
      <c r="B41" s="53" t="s">
        <v>416</v>
      </c>
      <c r="C41" s="54" t="s">
        <v>331</v>
      </c>
      <c r="D41" s="62" t="s">
        <v>417</v>
      </c>
      <c r="E41" s="55" t="s">
        <v>418</v>
      </c>
      <c r="F41" s="55" t="s">
        <v>51</v>
      </c>
      <c r="G41" s="55" t="s">
        <v>118</v>
      </c>
    </row>
    <row r="42">
      <c r="A42" s="53" t="str">
        <f t="shared" si="1"/>
        <v>US-5-TC-40</v>
      </c>
      <c r="B42" s="53" t="s">
        <v>419</v>
      </c>
      <c r="C42" s="54" t="s">
        <v>331</v>
      </c>
      <c r="D42" s="62" t="s">
        <v>420</v>
      </c>
      <c r="E42" s="55" t="s">
        <v>421</v>
      </c>
      <c r="F42" s="55" t="s">
        <v>53</v>
      </c>
      <c r="G42" s="55"/>
    </row>
    <row r="43">
      <c r="A43" s="53" t="str">
        <f t="shared" si="1"/>
        <v>US-5-TC-41</v>
      </c>
      <c r="B43" s="53" t="s">
        <v>422</v>
      </c>
      <c r="C43" s="54" t="s">
        <v>331</v>
      </c>
      <c r="D43" s="62" t="s">
        <v>420</v>
      </c>
      <c r="E43" s="55" t="s">
        <v>423</v>
      </c>
      <c r="F43" s="55" t="s">
        <v>121</v>
      </c>
      <c r="G43" s="64" t="s">
        <v>111</v>
      </c>
    </row>
    <row r="44">
      <c r="A44" s="53" t="str">
        <f t="shared" si="1"/>
        <v>US-5-TC-42</v>
      </c>
      <c r="B44" s="70" t="s">
        <v>424</v>
      </c>
      <c r="C44" s="54" t="s">
        <v>331</v>
      </c>
      <c r="D44" s="70" t="s">
        <v>425</v>
      </c>
      <c r="E44" s="70" t="s">
        <v>426</v>
      </c>
      <c r="F44" s="55" t="s">
        <v>50</v>
      </c>
      <c r="G44" s="79"/>
    </row>
    <row r="45">
      <c r="A45" s="53" t="str">
        <f t="shared" si="1"/>
        <v>US-5-TC-43</v>
      </c>
      <c r="B45" s="70" t="s">
        <v>427</v>
      </c>
      <c r="C45" s="54" t="s">
        <v>331</v>
      </c>
      <c r="D45" s="70" t="s">
        <v>428</v>
      </c>
      <c r="E45" s="70" t="s">
        <v>429</v>
      </c>
      <c r="F45" s="55" t="s">
        <v>50</v>
      </c>
      <c r="G45" s="79"/>
    </row>
    <row r="46">
      <c r="A46" s="53" t="str">
        <f t="shared" si="1"/>
        <v>US-5-TC-44</v>
      </c>
      <c r="B46" s="70" t="s">
        <v>430</v>
      </c>
      <c r="C46" s="54" t="s">
        <v>331</v>
      </c>
      <c r="D46" s="70" t="s">
        <v>431</v>
      </c>
      <c r="E46" s="70" t="s">
        <v>432</v>
      </c>
      <c r="F46" s="55" t="s">
        <v>50</v>
      </c>
      <c r="G46" s="79"/>
    </row>
    <row r="47">
      <c r="A47" s="53" t="str">
        <f t="shared" si="1"/>
        <v>US-5-TC-45</v>
      </c>
      <c r="B47" s="70" t="s">
        <v>433</v>
      </c>
      <c r="C47" s="54" t="s">
        <v>331</v>
      </c>
      <c r="D47" s="70" t="s">
        <v>431</v>
      </c>
      <c r="E47" s="70" t="s">
        <v>434</v>
      </c>
      <c r="F47" s="55" t="s">
        <v>50</v>
      </c>
      <c r="G47" s="79"/>
    </row>
    <row r="48">
      <c r="A48" s="53" t="str">
        <f t="shared" si="1"/>
        <v>US-5-TC-46</v>
      </c>
      <c r="B48" s="70" t="s">
        <v>435</v>
      </c>
      <c r="C48" s="54" t="s">
        <v>331</v>
      </c>
      <c r="D48" s="70" t="s">
        <v>431</v>
      </c>
      <c r="E48" s="70" t="s">
        <v>436</v>
      </c>
      <c r="F48" s="55" t="s">
        <v>50</v>
      </c>
      <c r="G48" s="79"/>
    </row>
    <row r="49">
      <c r="A49" s="53" t="str">
        <f t="shared" si="1"/>
        <v>US-5-TC-47</v>
      </c>
      <c r="B49" s="70" t="s">
        <v>437</v>
      </c>
      <c r="C49" s="54" t="s">
        <v>331</v>
      </c>
      <c r="D49" s="70" t="s">
        <v>431</v>
      </c>
      <c r="E49" s="80" t="s">
        <v>436</v>
      </c>
      <c r="F49" s="55" t="s">
        <v>50</v>
      </c>
      <c r="G49" s="79"/>
    </row>
    <row r="50">
      <c r="A50" s="53" t="str">
        <f t="shared" si="1"/>
        <v>US-5-TC-48</v>
      </c>
      <c r="B50" s="70" t="s">
        <v>438</v>
      </c>
      <c r="C50" s="54" t="s">
        <v>331</v>
      </c>
      <c r="D50" s="70" t="s">
        <v>431</v>
      </c>
      <c r="E50" s="80" t="s">
        <v>436</v>
      </c>
      <c r="F50" s="55" t="s">
        <v>50</v>
      </c>
      <c r="G50" s="79"/>
    </row>
    <row r="51">
      <c r="A51" s="53" t="str">
        <f t="shared" si="1"/>
        <v>US-5-TC-49</v>
      </c>
      <c r="B51" s="70" t="s">
        <v>439</v>
      </c>
      <c r="C51" s="54" t="s">
        <v>331</v>
      </c>
      <c r="D51" s="70" t="s">
        <v>431</v>
      </c>
      <c r="E51" s="80" t="s">
        <v>436</v>
      </c>
      <c r="F51" s="55" t="s">
        <v>50</v>
      </c>
      <c r="G51" s="79"/>
    </row>
    <row r="52">
      <c r="A52" s="53" t="str">
        <f t="shared" si="1"/>
        <v>US-5-TC-50</v>
      </c>
      <c r="B52" s="70" t="s">
        <v>440</v>
      </c>
      <c r="C52" s="54" t="s">
        <v>331</v>
      </c>
      <c r="D52" s="70" t="s">
        <v>431</v>
      </c>
      <c r="E52" s="80" t="s">
        <v>436</v>
      </c>
      <c r="F52" s="55" t="s">
        <v>50</v>
      </c>
      <c r="G52" s="79"/>
    </row>
    <row r="53">
      <c r="A53" s="53" t="str">
        <f t="shared" si="1"/>
        <v>US-5-TC-51</v>
      </c>
      <c r="B53" s="70" t="s">
        <v>441</v>
      </c>
      <c r="C53" s="54" t="s">
        <v>331</v>
      </c>
      <c r="D53" s="70" t="s">
        <v>431</v>
      </c>
      <c r="E53" s="80" t="s">
        <v>436</v>
      </c>
      <c r="F53" s="55" t="s">
        <v>50</v>
      </c>
      <c r="G53" s="79"/>
    </row>
    <row r="54">
      <c r="A54" s="53" t="str">
        <f t="shared" si="1"/>
        <v>US-5-TC-52</v>
      </c>
      <c r="B54" s="70" t="s">
        <v>442</v>
      </c>
      <c r="C54" s="54" t="s">
        <v>331</v>
      </c>
      <c r="D54" s="70" t="s">
        <v>431</v>
      </c>
      <c r="E54" s="80" t="s">
        <v>436</v>
      </c>
      <c r="F54" s="55" t="s">
        <v>50</v>
      </c>
      <c r="G54" s="79"/>
    </row>
    <row r="55">
      <c r="A55" s="53" t="str">
        <f t="shared" si="1"/>
        <v>US-5-TC-53</v>
      </c>
      <c r="B55" s="70" t="s">
        <v>442</v>
      </c>
      <c r="C55" s="54" t="s">
        <v>331</v>
      </c>
      <c r="D55" s="70" t="s">
        <v>431</v>
      </c>
      <c r="E55" s="80" t="s">
        <v>436</v>
      </c>
      <c r="F55" s="55" t="s">
        <v>50</v>
      </c>
      <c r="G55" s="79"/>
    </row>
    <row r="56">
      <c r="A56" s="53" t="str">
        <f t="shared" si="1"/>
        <v>US-5-TC-54</v>
      </c>
      <c r="B56" s="70" t="s">
        <v>442</v>
      </c>
      <c r="C56" s="54" t="s">
        <v>331</v>
      </c>
      <c r="D56" s="70" t="s">
        <v>431</v>
      </c>
      <c r="E56" s="80" t="s">
        <v>436</v>
      </c>
      <c r="F56" s="55" t="s">
        <v>50</v>
      </c>
      <c r="G56" s="79"/>
    </row>
    <row r="57">
      <c r="A57" s="53" t="str">
        <f t="shared" si="1"/>
        <v>US-5-TC-55</v>
      </c>
      <c r="B57" s="70" t="s">
        <v>443</v>
      </c>
      <c r="C57" s="54" t="s">
        <v>331</v>
      </c>
      <c r="D57" s="70" t="s">
        <v>431</v>
      </c>
      <c r="E57" s="80" t="s">
        <v>436</v>
      </c>
      <c r="F57" s="55" t="s">
        <v>50</v>
      </c>
      <c r="G57" s="79"/>
    </row>
    <row r="58">
      <c r="A58" s="53" t="str">
        <f t="shared" si="1"/>
        <v>US-5-TC-56</v>
      </c>
      <c r="B58" s="70" t="s">
        <v>444</v>
      </c>
      <c r="C58" s="54" t="s">
        <v>331</v>
      </c>
      <c r="D58" s="70" t="s">
        <v>431</v>
      </c>
      <c r="E58" s="80" t="s">
        <v>436</v>
      </c>
      <c r="F58" s="55" t="s">
        <v>50</v>
      </c>
      <c r="G58" s="79"/>
    </row>
    <row r="59">
      <c r="A59" s="53" t="str">
        <f t="shared" si="1"/>
        <v>US-5-TC-57</v>
      </c>
      <c r="B59" s="70" t="s">
        <v>445</v>
      </c>
      <c r="C59" s="54" t="s">
        <v>331</v>
      </c>
      <c r="D59" s="70" t="s">
        <v>431</v>
      </c>
      <c r="E59" s="80" t="s">
        <v>436</v>
      </c>
      <c r="F59" s="55" t="s">
        <v>50</v>
      </c>
      <c r="G59" s="79"/>
    </row>
    <row r="60">
      <c r="A60" s="53" t="str">
        <f t="shared" si="1"/>
        <v>US-5-TC-58</v>
      </c>
      <c r="B60" s="70" t="s">
        <v>446</v>
      </c>
      <c r="C60" s="54" t="s">
        <v>331</v>
      </c>
      <c r="D60" s="70" t="s">
        <v>431</v>
      </c>
      <c r="E60" s="80" t="s">
        <v>436</v>
      </c>
      <c r="F60" s="55" t="s">
        <v>50</v>
      </c>
      <c r="G60" s="79"/>
    </row>
    <row r="61">
      <c r="A61" s="53" t="str">
        <f t="shared" si="1"/>
        <v>US-5-TC-59</v>
      </c>
      <c r="B61" s="70" t="s">
        <v>447</v>
      </c>
      <c r="C61" s="54" t="s">
        <v>331</v>
      </c>
      <c r="D61" s="70" t="s">
        <v>431</v>
      </c>
      <c r="E61" s="80" t="s">
        <v>436</v>
      </c>
      <c r="F61" s="55" t="s">
        <v>50</v>
      </c>
      <c r="G61" s="79"/>
    </row>
    <row r="62">
      <c r="A62" s="53" t="str">
        <f t="shared" si="1"/>
        <v>US-5-TC-60</v>
      </c>
      <c r="B62" s="70" t="s">
        <v>448</v>
      </c>
      <c r="C62" s="54" t="s">
        <v>331</v>
      </c>
      <c r="D62" s="70" t="s">
        <v>431</v>
      </c>
      <c r="E62" s="80" t="s">
        <v>436</v>
      </c>
      <c r="F62" s="55" t="s">
        <v>50</v>
      </c>
      <c r="G62" s="79"/>
    </row>
  </sheetData>
  <dataValidations>
    <dataValidation type="list" allowBlank="1" sqref="F3:F62">
      <formula1>"OPEN,BLOCKED,PASSED,FAILED,CLARIFICATION"</formula1>
    </dataValidation>
  </dataValidations>
  <drawing r:id="rId4"/>
  <legacyDrawing r:id="rId5"/>
  <tableParts count="1">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7.13"/>
    <col customWidth="1" min="2" max="2" width="61.13"/>
    <col customWidth="1" min="3" max="3" width="50.13"/>
    <col customWidth="1" min="4" max="4" width="48.38"/>
    <col customWidth="1" min="5" max="5" width="56.63"/>
    <col customWidth="1" min="6" max="6" width="21.63"/>
    <col customWidth="1" min="7" max="7" width="22.75"/>
  </cols>
  <sheetData>
    <row r="1">
      <c r="A1" s="81" t="s">
        <v>35</v>
      </c>
      <c r="B1" s="82" t="s">
        <v>449</v>
      </c>
      <c r="C1" s="81"/>
      <c r="D1" s="81"/>
      <c r="E1" s="81"/>
      <c r="F1" s="83"/>
      <c r="G1" s="81"/>
      <c r="H1" s="84"/>
      <c r="I1" s="84"/>
      <c r="J1" s="84"/>
      <c r="K1" s="84"/>
      <c r="L1" s="84"/>
      <c r="M1" s="84"/>
      <c r="N1" s="84"/>
      <c r="O1" s="84"/>
      <c r="P1" s="84"/>
      <c r="Q1" s="84"/>
      <c r="R1" s="84"/>
      <c r="S1" s="84"/>
      <c r="T1" s="84"/>
      <c r="U1" s="84"/>
      <c r="V1" s="84"/>
      <c r="W1" s="84"/>
      <c r="X1" s="84"/>
      <c r="Y1" s="84"/>
      <c r="Z1" s="84"/>
    </row>
    <row r="2">
      <c r="A2" s="85" t="s">
        <v>14</v>
      </c>
      <c r="B2" s="85" t="s">
        <v>16</v>
      </c>
      <c r="C2" s="85" t="s">
        <v>18</v>
      </c>
      <c r="D2" s="85" t="s">
        <v>20</v>
      </c>
      <c r="E2" s="85" t="s">
        <v>219</v>
      </c>
      <c r="F2" s="85" t="s">
        <v>24</v>
      </c>
      <c r="G2" s="85" t="s">
        <v>26</v>
      </c>
      <c r="H2" s="84"/>
      <c r="I2" s="84"/>
      <c r="J2" s="84"/>
      <c r="K2" s="84"/>
      <c r="L2" s="84"/>
      <c r="M2" s="84"/>
      <c r="N2" s="84"/>
      <c r="O2" s="84"/>
      <c r="P2" s="84"/>
      <c r="Q2" s="84"/>
      <c r="R2" s="84"/>
      <c r="S2" s="84"/>
      <c r="T2" s="84"/>
      <c r="U2" s="84"/>
      <c r="V2" s="84"/>
      <c r="W2" s="84"/>
      <c r="X2" s="84"/>
      <c r="Y2" s="84"/>
      <c r="Z2" s="84"/>
    </row>
    <row r="3">
      <c r="A3" s="86" t="str">
        <f>IF(B1&lt;&gt;"", "US-6-TC-" &amp; TEXT(COUNTA($B$3:B3), "00"), "")
</f>
        <v>US-6-TC-01</v>
      </c>
      <c r="B3" s="86" t="s">
        <v>450</v>
      </c>
      <c r="C3" s="86" t="s">
        <v>331</v>
      </c>
      <c r="D3" s="86" t="s">
        <v>451</v>
      </c>
      <c r="E3" s="86" t="s">
        <v>452</v>
      </c>
      <c r="F3" s="86" t="s">
        <v>53</v>
      </c>
      <c r="G3" s="86"/>
      <c r="H3" s="84"/>
      <c r="I3" s="84"/>
      <c r="J3" s="84"/>
      <c r="K3" s="84"/>
      <c r="L3" s="84"/>
      <c r="M3" s="84"/>
      <c r="N3" s="84"/>
      <c r="O3" s="84"/>
      <c r="P3" s="84"/>
      <c r="Q3" s="84"/>
      <c r="R3" s="84"/>
      <c r="S3" s="84"/>
      <c r="T3" s="84"/>
      <c r="U3" s="84"/>
      <c r="V3" s="84"/>
      <c r="W3" s="84"/>
      <c r="X3" s="84"/>
      <c r="Y3" s="84"/>
      <c r="Z3" s="84"/>
    </row>
    <row r="4">
      <c r="A4" s="86" t="str">
        <f>IF(B1&lt;&gt;"", "US-6-TC-" &amp; TEXT(COUNTA($B$3:B4), "00"), "")
</f>
        <v>US-6-TC-02</v>
      </c>
      <c r="B4" s="86" t="s">
        <v>453</v>
      </c>
      <c r="C4" s="86" t="s">
        <v>331</v>
      </c>
      <c r="D4" s="86" t="s">
        <v>451</v>
      </c>
      <c r="E4" s="86" t="s">
        <v>452</v>
      </c>
      <c r="F4" s="86" t="s">
        <v>53</v>
      </c>
      <c r="G4" s="86"/>
      <c r="H4" s="84"/>
      <c r="I4" s="84"/>
      <c r="J4" s="84"/>
      <c r="K4" s="84"/>
      <c r="L4" s="84"/>
      <c r="M4" s="84"/>
      <c r="N4" s="84"/>
      <c r="O4" s="84"/>
      <c r="P4" s="84"/>
      <c r="Q4" s="84"/>
      <c r="R4" s="84"/>
      <c r="S4" s="84"/>
      <c r="T4" s="84"/>
      <c r="U4" s="84"/>
      <c r="V4" s="84"/>
      <c r="W4" s="84"/>
      <c r="X4" s="84"/>
      <c r="Y4" s="84"/>
      <c r="Z4" s="84"/>
    </row>
    <row r="5">
      <c r="A5" s="86" t="str">
        <f>IF(B3&lt;&gt;"", "US-6-TC-" &amp; TEXT(COUNTA($B3:B$5), "00"), "")
</f>
        <v>US-6-TC-03</v>
      </c>
      <c r="B5" s="86" t="s">
        <v>454</v>
      </c>
      <c r="C5" s="86" t="s">
        <v>331</v>
      </c>
      <c r="D5" s="86" t="s">
        <v>451</v>
      </c>
      <c r="E5" s="86" t="s">
        <v>452</v>
      </c>
      <c r="F5" s="86" t="s">
        <v>53</v>
      </c>
      <c r="G5" s="86"/>
      <c r="H5" s="84"/>
      <c r="I5" s="84"/>
      <c r="J5" s="84"/>
      <c r="K5" s="84"/>
      <c r="L5" s="84"/>
      <c r="M5" s="84"/>
      <c r="N5" s="84"/>
      <c r="O5" s="84"/>
      <c r="P5" s="84"/>
      <c r="Q5" s="84"/>
      <c r="R5" s="84"/>
      <c r="S5" s="84"/>
      <c r="T5" s="84"/>
      <c r="U5" s="84"/>
      <c r="V5" s="84"/>
      <c r="W5" s="84"/>
      <c r="X5" s="84"/>
      <c r="Y5" s="84"/>
      <c r="Z5" s="84"/>
    </row>
    <row r="6">
      <c r="A6" s="86" t="str">
        <f>IF(B4&lt;&gt;"", "US-6-TC-" &amp; TEXT(COUNTA($B3:B$6), "00"), "")
</f>
        <v>US-6-TC-04</v>
      </c>
      <c r="B6" s="87" t="s">
        <v>455</v>
      </c>
      <c r="C6" s="88" t="s">
        <v>331</v>
      </c>
      <c r="D6" s="88" t="s">
        <v>456</v>
      </c>
      <c r="E6" s="88" t="s">
        <v>457</v>
      </c>
      <c r="F6" s="86" t="s">
        <v>53</v>
      </c>
      <c r="G6" s="89"/>
      <c r="H6" s="84"/>
      <c r="I6" s="84"/>
      <c r="J6" s="84"/>
      <c r="K6" s="84"/>
      <c r="L6" s="84"/>
      <c r="M6" s="84"/>
      <c r="N6" s="84"/>
      <c r="O6" s="84"/>
      <c r="P6" s="84"/>
      <c r="Q6" s="84"/>
      <c r="R6" s="84"/>
      <c r="S6" s="84"/>
      <c r="T6" s="84"/>
      <c r="U6" s="84"/>
      <c r="V6" s="84"/>
      <c r="W6" s="84"/>
      <c r="X6" s="84"/>
      <c r="Y6" s="84"/>
      <c r="Z6" s="84"/>
    </row>
    <row r="7">
      <c r="A7" s="86" t="str">
        <f>IF(B5&lt;&gt;"", "US-6-TC-" &amp; TEXT(COUNTA($B3:B$7), "00"), "")
</f>
        <v>US-6-TC-05</v>
      </c>
      <c r="B7" s="90" t="s">
        <v>342</v>
      </c>
      <c r="C7" s="90" t="s">
        <v>331</v>
      </c>
      <c r="D7" s="90" t="s">
        <v>458</v>
      </c>
      <c r="E7" s="90" t="s">
        <v>343</v>
      </c>
      <c r="F7" s="86" t="s">
        <v>53</v>
      </c>
      <c r="G7" s="91"/>
      <c r="H7" s="84"/>
      <c r="I7" s="84"/>
      <c r="J7" s="84"/>
      <c r="K7" s="84"/>
      <c r="L7" s="84"/>
      <c r="M7" s="84"/>
      <c r="N7" s="84"/>
      <c r="O7" s="84"/>
      <c r="P7" s="84"/>
      <c r="Q7" s="84"/>
      <c r="R7" s="84"/>
      <c r="S7" s="84"/>
      <c r="T7" s="84"/>
      <c r="U7" s="84"/>
      <c r="V7" s="84"/>
      <c r="W7" s="84"/>
      <c r="X7" s="84"/>
      <c r="Y7" s="84"/>
      <c r="Z7" s="84"/>
    </row>
    <row r="8">
      <c r="A8" s="86" t="str">
        <f>IF(B6&lt;&gt;"", "US-6-TC-" &amp; TEXT(COUNTA($B3:B$8), "00"), "")
</f>
        <v>US-6-TC-06</v>
      </c>
      <c r="B8" s="88" t="s">
        <v>344</v>
      </c>
      <c r="C8" s="88" t="s">
        <v>331</v>
      </c>
      <c r="D8" s="88" t="s">
        <v>459</v>
      </c>
      <c r="E8" s="88" t="s">
        <v>345</v>
      </c>
      <c r="F8" s="86" t="s">
        <v>53</v>
      </c>
      <c r="G8" s="89"/>
      <c r="H8" s="84"/>
      <c r="I8" s="84"/>
      <c r="J8" s="84"/>
      <c r="K8" s="84"/>
      <c r="L8" s="84"/>
      <c r="M8" s="84"/>
      <c r="N8" s="84"/>
      <c r="O8" s="84"/>
      <c r="P8" s="84"/>
      <c r="Q8" s="84"/>
      <c r="R8" s="84"/>
      <c r="S8" s="84"/>
      <c r="T8" s="84"/>
      <c r="U8" s="84"/>
      <c r="V8" s="84"/>
      <c r="W8" s="84"/>
      <c r="X8" s="84"/>
      <c r="Y8" s="84"/>
      <c r="Z8" s="84"/>
    </row>
    <row r="9">
      <c r="A9" s="86" t="str">
        <f>IF(B6&lt;&gt;"", "US-6-TC-" &amp; TEXT(COUNTA($B3:B$9), "00"), "")
</f>
        <v>US-6-TC-07</v>
      </c>
      <c r="B9" s="90" t="s">
        <v>346</v>
      </c>
      <c r="C9" s="90" t="s">
        <v>331</v>
      </c>
      <c r="D9" s="90" t="s">
        <v>460</v>
      </c>
      <c r="E9" s="90" t="s">
        <v>347</v>
      </c>
      <c r="F9" s="86" t="s">
        <v>53</v>
      </c>
      <c r="G9" s="91"/>
      <c r="H9" s="84"/>
      <c r="I9" s="84"/>
      <c r="J9" s="84"/>
      <c r="K9" s="84"/>
      <c r="L9" s="84"/>
      <c r="M9" s="84"/>
      <c r="N9" s="84"/>
      <c r="O9" s="84"/>
      <c r="P9" s="84"/>
      <c r="Q9" s="84"/>
      <c r="R9" s="84"/>
      <c r="S9" s="84"/>
      <c r="T9" s="84"/>
      <c r="U9" s="84"/>
      <c r="V9" s="84"/>
      <c r="W9" s="84"/>
      <c r="X9" s="84"/>
      <c r="Y9" s="84"/>
      <c r="Z9" s="84"/>
    </row>
    <row r="10">
      <c r="A10" s="88" t="str">
        <f>IF(B6&lt;&gt;"", "US-6-TC-" &amp; TEXT(COUNTA($B3:B$10), "00"), "")
</f>
        <v>US-6-TC-08</v>
      </c>
      <c r="B10" s="88" t="s">
        <v>461</v>
      </c>
      <c r="C10" s="88" t="s">
        <v>462</v>
      </c>
      <c r="D10" s="88" t="s">
        <v>456</v>
      </c>
      <c r="E10" s="88" t="s">
        <v>463</v>
      </c>
      <c r="F10" s="86" t="s">
        <v>53</v>
      </c>
      <c r="G10" s="89"/>
      <c r="H10" s="84"/>
      <c r="I10" s="84"/>
      <c r="J10" s="84"/>
      <c r="K10" s="84"/>
      <c r="L10" s="84"/>
      <c r="M10" s="84"/>
      <c r="N10" s="84"/>
      <c r="O10" s="84"/>
      <c r="P10" s="84"/>
      <c r="Q10" s="84"/>
      <c r="R10" s="84"/>
      <c r="S10" s="84"/>
      <c r="T10" s="84"/>
      <c r="U10" s="84"/>
      <c r="V10" s="84"/>
      <c r="W10" s="84"/>
      <c r="X10" s="84"/>
      <c r="Y10" s="84"/>
      <c r="Z10" s="84"/>
    </row>
    <row r="11">
      <c r="A11" s="90" t="str">
        <f>IF(B6&lt;&gt;"", "US-6-TC-" &amp; TEXT(COUNTA($B3:B$11), "00"), "")
</f>
        <v>US-6-TC-09</v>
      </c>
      <c r="B11" s="90" t="s">
        <v>464</v>
      </c>
      <c r="C11" s="90" t="s">
        <v>331</v>
      </c>
      <c r="D11" s="90" t="s">
        <v>465</v>
      </c>
      <c r="E11" s="90" t="s">
        <v>466</v>
      </c>
      <c r="F11" s="86" t="s">
        <v>53</v>
      </c>
      <c r="G11" s="91"/>
      <c r="H11" s="84"/>
      <c r="I11" s="84"/>
      <c r="J11" s="84"/>
      <c r="K11" s="84"/>
      <c r="L11" s="84"/>
      <c r="M11" s="84"/>
      <c r="N11" s="84"/>
      <c r="O11" s="84"/>
      <c r="P11" s="84"/>
      <c r="Q11" s="84"/>
      <c r="R11" s="84"/>
      <c r="S11" s="84"/>
      <c r="T11" s="84"/>
      <c r="U11" s="84"/>
      <c r="V11" s="84"/>
      <c r="W11" s="84"/>
      <c r="X11" s="84"/>
      <c r="Y11" s="84"/>
      <c r="Z11" s="84"/>
    </row>
    <row r="12">
      <c r="A12" s="88" t="str">
        <f t="shared" ref="A12:A22" si="1">IF(B6&lt;&gt;"", "US-6-TC-" &amp; TEXT(COUNTA($B$3:B12), "00"), "")
</f>
        <v>US-6-TC-10</v>
      </c>
      <c r="B12" s="88" t="s">
        <v>467</v>
      </c>
      <c r="C12" s="88" t="s">
        <v>331</v>
      </c>
      <c r="D12" s="88" t="s">
        <v>468</v>
      </c>
      <c r="E12" s="88" t="s">
        <v>469</v>
      </c>
      <c r="F12" s="86" t="s">
        <v>53</v>
      </c>
      <c r="G12" s="89"/>
      <c r="H12" s="84"/>
      <c r="I12" s="84"/>
      <c r="J12" s="84"/>
      <c r="K12" s="84"/>
      <c r="L12" s="84"/>
      <c r="M12" s="84"/>
      <c r="N12" s="84"/>
      <c r="O12" s="84"/>
      <c r="P12" s="84"/>
      <c r="Q12" s="84"/>
      <c r="R12" s="84"/>
      <c r="S12" s="84"/>
      <c r="T12" s="84"/>
      <c r="U12" s="84"/>
      <c r="V12" s="84"/>
      <c r="W12" s="84"/>
      <c r="X12" s="84"/>
      <c r="Y12" s="84"/>
      <c r="Z12" s="84"/>
    </row>
    <row r="13">
      <c r="A13" s="88" t="str">
        <f t="shared" si="1"/>
        <v>US-6-TC-11</v>
      </c>
      <c r="B13" s="90" t="s">
        <v>348</v>
      </c>
      <c r="C13" s="90" t="s">
        <v>331</v>
      </c>
      <c r="D13" s="90" t="s">
        <v>470</v>
      </c>
      <c r="E13" s="90" t="s">
        <v>349</v>
      </c>
      <c r="F13" s="86" t="s">
        <v>53</v>
      </c>
      <c r="G13" s="91"/>
      <c r="H13" s="84"/>
      <c r="I13" s="84"/>
      <c r="J13" s="84"/>
      <c r="K13" s="84"/>
      <c r="L13" s="84"/>
      <c r="M13" s="84"/>
      <c r="N13" s="84"/>
      <c r="O13" s="84"/>
      <c r="P13" s="84"/>
      <c r="Q13" s="84"/>
      <c r="R13" s="84"/>
      <c r="S13" s="84"/>
      <c r="T13" s="84"/>
      <c r="U13" s="84"/>
      <c r="V13" s="84"/>
      <c r="W13" s="84"/>
      <c r="X13" s="84"/>
      <c r="Y13" s="84"/>
      <c r="Z13" s="84"/>
    </row>
    <row r="14">
      <c r="A14" s="88" t="str">
        <f t="shared" si="1"/>
        <v>US-6-TC-12</v>
      </c>
      <c r="B14" s="88" t="s">
        <v>471</v>
      </c>
      <c r="C14" s="88" t="s">
        <v>331</v>
      </c>
      <c r="D14" s="88" t="s">
        <v>351</v>
      </c>
      <c r="E14" s="88" t="s">
        <v>352</v>
      </c>
      <c r="F14" s="86" t="s">
        <v>53</v>
      </c>
      <c r="G14" s="89"/>
      <c r="H14" s="84"/>
      <c r="I14" s="84"/>
      <c r="J14" s="84"/>
      <c r="K14" s="84"/>
      <c r="L14" s="84"/>
      <c r="M14" s="84"/>
      <c r="N14" s="84"/>
      <c r="O14" s="84"/>
      <c r="P14" s="84"/>
      <c r="Q14" s="84"/>
      <c r="R14" s="84"/>
      <c r="S14" s="84"/>
      <c r="T14" s="84"/>
      <c r="U14" s="84"/>
      <c r="V14" s="84"/>
      <c r="W14" s="84"/>
      <c r="X14" s="84"/>
      <c r="Y14" s="84"/>
      <c r="Z14" s="84"/>
    </row>
    <row r="15">
      <c r="A15" s="88" t="str">
        <f t="shared" si="1"/>
        <v>US-6-TC-13</v>
      </c>
      <c r="B15" s="90" t="s">
        <v>472</v>
      </c>
      <c r="C15" s="90" t="s">
        <v>331</v>
      </c>
      <c r="D15" s="90" t="s">
        <v>355</v>
      </c>
      <c r="E15" s="90" t="s">
        <v>356</v>
      </c>
      <c r="F15" s="86" t="s">
        <v>53</v>
      </c>
      <c r="G15" s="91"/>
      <c r="H15" s="84"/>
      <c r="I15" s="84"/>
      <c r="J15" s="84"/>
      <c r="K15" s="84"/>
      <c r="L15" s="84"/>
      <c r="M15" s="84"/>
      <c r="N15" s="84"/>
      <c r="O15" s="84"/>
      <c r="P15" s="84"/>
      <c r="Q15" s="84"/>
      <c r="R15" s="84"/>
      <c r="S15" s="84"/>
      <c r="T15" s="84"/>
      <c r="U15" s="84"/>
      <c r="V15" s="84"/>
      <c r="W15" s="84"/>
      <c r="X15" s="84"/>
      <c r="Y15" s="84"/>
      <c r="Z15" s="84"/>
    </row>
    <row r="16">
      <c r="A16" s="88" t="str">
        <f t="shared" si="1"/>
        <v>US-6-TC-14</v>
      </c>
      <c r="B16" s="88" t="s">
        <v>473</v>
      </c>
      <c r="C16" s="88" t="s">
        <v>331</v>
      </c>
      <c r="D16" s="88" t="s">
        <v>358</v>
      </c>
      <c r="E16" s="88" t="s">
        <v>359</v>
      </c>
      <c r="F16" s="86" t="s">
        <v>53</v>
      </c>
      <c r="G16" s="89"/>
      <c r="H16" s="84"/>
      <c r="I16" s="84"/>
      <c r="J16" s="84"/>
      <c r="K16" s="84"/>
      <c r="L16" s="84"/>
      <c r="M16" s="84"/>
      <c r="N16" s="84"/>
      <c r="O16" s="84"/>
      <c r="P16" s="84"/>
      <c r="Q16" s="84"/>
      <c r="R16" s="84"/>
      <c r="S16" s="84"/>
      <c r="T16" s="84"/>
      <c r="U16" s="84"/>
      <c r="V16" s="84"/>
      <c r="W16" s="84"/>
      <c r="X16" s="84"/>
      <c r="Y16" s="84"/>
      <c r="Z16" s="84"/>
    </row>
    <row r="17">
      <c r="A17" s="88" t="str">
        <f t="shared" si="1"/>
        <v>US-6-TC-15</v>
      </c>
      <c r="B17" s="90" t="s">
        <v>474</v>
      </c>
      <c r="C17" s="90" t="s">
        <v>331</v>
      </c>
      <c r="D17" s="90" t="s">
        <v>361</v>
      </c>
      <c r="E17" s="90" t="s">
        <v>362</v>
      </c>
      <c r="F17" s="86" t="s">
        <v>53</v>
      </c>
      <c r="G17" s="91"/>
      <c r="H17" s="84"/>
      <c r="I17" s="84"/>
      <c r="J17" s="84"/>
      <c r="K17" s="84"/>
      <c r="L17" s="84"/>
      <c r="M17" s="84"/>
      <c r="N17" s="84"/>
      <c r="O17" s="84"/>
      <c r="P17" s="84"/>
      <c r="Q17" s="84"/>
      <c r="R17" s="84"/>
      <c r="S17" s="84"/>
      <c r="T17" s="84"/>
      <c r="U17" s="84"/>
      <c r="V17" s="84"/>
      <c r="W17" s="84"/>
      <c r="X17" s="84"/>
      <c r="Y17" s="84"/>
      <c r="Z17" s="84"/>
    </row>
    <row r="18">
      <c r="A18" s="88" t="str">
        <f t="shared" si="1"/>
        <v>US-6-TC-16</v>
      </c>
      <c r="B18" s="88" t="s">
        <v>475</v>
      </c>
      <c r="C18" s="88" t="s">
        <v>331</v>
      </c>
      <c r="D18" s="88" t="s">
        <v>365</v>
      </c>
      <c r="E18" s="88" t="s">
        <v>366</v>
      </c>
      <c r="F18" s="86" t="s">
        <v>53</v>
      </c>
      <c r="G18" s="89"/>
      <c r="H18" s="84"/>
      <c r="I18" s="84"/>
      <c r="J18" s="84"/>
      <c r="K18" s="84"/>
      <c r="L18" s="84"/>
      <c r="M18" s="84"/>
      <c r="N18" s="84"/>
      <c r="O18" s="84"/>
      <c r="P18" s="84"/>
      <c r="Q18" s="84"/>
      <c r="R18" s="84"/>
      <c r="S18" s="84"/>
      <c r="T18" s="84"/>
      <c r="U18" s="84"/>
      <c r="V18" s="84"/>
      <c r="W18" s="84"/>
      <c r="X18" s="84"/>
      <c r="Y18" s="84"/>
      <c r="Z18" s="84"/>
    </row>
    <row r="19">
      <c r="A19" s="88" t="str">
        <f t="shared" si="1"/>
        <v>US-6-TC-17</v>
      </c>
      <c r="B19" s="90" t="s">
        <v>476</v>
      </c>
      <c r="C19" s="90" t="s">
        <v>331</v>
      </c>
      <c r="D19" s="90" t="s">
        <v>368</v>
      </c>
      <c r="E19" s="90" t="s">
        <v>369</v>
      </c>
      <c r="F19" s="86" t="s">
        <v>53</v>
      </c>
      <c r="G19" s="91"/>
      <c r="H19" s="84"/>
      <c r="I19" s="84"/>
      <c r="J19" s="84"/>
      <c r="K19" s="84"/>
      <c r="L19" s="84"/>
      <c r="M19" s="84"/>
      <c r="N19" s="84"/>
      <c r="O19" s="84"/>
      <c r="P19" s="84"/>
      <c r="Q19" s="84"/>
      <c r="R19" s="84"/>
      <c r="S19" s="84"/>
      <c r="T19" s="84"/>
      <c r="U19" s="84"/>
      <c r="V19" s="84"/>
      <c r="W19" s="84"/>
      <c r="X19" s="84"/>
      <c r="Y19" s="84"/>
      <c r="Z19" s="84"/>
    </row>
    <row r="20">
      <c r="A20" s="88" t="str">
        <f t="shared" si="1"/>
        <v>US-6-TC-18</v>
      </c>
      <c r="B20" s="88" t="s">
        <v>477</v>
      </c>
      <c r="C20" s="88" t="s">
        <v>331</v>
      </c>
      <c r="D20" s="88" t="s">
        <v>371</v>
      </c>
      <c r="E20" s="88" t="s">
        <v>372</v>
      </c>
      <c r="F20" s="86" t="s">
        <v>53</v>
      </c>
      <c r="G20" s="89"/>
      <c r="H20" s="84"/>
      <c r="I20" s="84"/>
      <c r="J20" s="84"/>
      <c r="K20" s="84"/>
      <c r="L20" s="84"/>
      <c r="M20" s="84"/>
      <c r="N20" s="84"/>
      <c r="O20" s="84"/>
      <c r="P20" s="84"/>
      <c r="Q20" s="84"/>
      <c r="R20" s="84"/>
      <c r="S20" s="84"/>
      <c r="T20" s="84"/>
      <c r="U20" s="84"/>
      <c r="V20" s="84"/>
      <c r="W20" s="84"/>
      <c r="X20" s="84"/>
      <c r="Y20" s="84"/>
      <c r="Z20" s="84"/>
    </row>
    <row r="21">
      <c r="A21" s="88" t="str">
        <f t="shared" si="1"/>
        <v>US-6-TC-19</v>
      </c>
      <c r="B21" s="90" t="s">
        <v>478</v>
      </c>
      <c r="C21" s="90" t="s">
        <v>331</v>
      </c>
      <c r="D21" s="90" t="s">
        <v>375</v>
      </c>
      <c r="E21" s="90" t="s">
        <v>376</v>
      </c>
      <c r="F21" s="86" t="s">
        <v>53</v>
      </c>
      <c r="G21" s="91"/>
      <c r="H21" s="84"/>
      <c r="I21" s="84"/>
      <c r="J21" s="84"/>
      <c r="K21" s="84"/>
      <c r="L21" s="84"/>
      <c r="M21" s="84"/>
      <c r="N21" s="84"/>
      <c r="O21" s="84"/>
      <c r="P21" s="84"/>
      <c r="Q21" s="84"/>
      <c r="R21" s="84"/>
      <c r="S21" s="84"/>
      <c r="T21" s="84"/>
      <c r="U21" s="84"/>
      <c r="V21" s="84"/>
      <c r="W21" s="84"/>
      <c r="X21" s="84"/>
      <c r="Y21" s="84"/>
      <c r="Z21" s="84"/>
    </row>
    <row r="22">
      <c r="A22" s="88" t="str">
        <f t="shared" si="1"/>
        <v>US-6-TC-20</v>
      </c>
      <c r="B22" s="92" t="s">
        <v>479</v>
      </c>
      <c r="C22" s="90"/>
      <c r="D22" s="90"/>
      <c r="E22" s="90"/>
      <c r="F22" s="86" t="s">
        <v>53</v>
      </c>
      <c r="G22" s="91"/>
      <c r="H22" s="84"/>
      <c r="I22" s="84"/>
      <c r="J22" s="84"/>
      <c r="K22" s="84"/>
      <c r="L22" s="84"/>
      <c r="M22" s="84"/>
      <c r="N22" s="84"/>
      <c r="O22" s="84"/>
      <c r="P22" s="84"/>
      <c r="Q22" s="84"/>
      <c r="R22" s="84"/>
      <c r="S22" s="84"/>
      <c r="T22" s="84"/>
      <c r="U22" s="84"/>
      <c r="V22" s="84"/>
      <c r="W22" s="84"/>
      <c r="X22" s="84"/>
      <c r="Y22" s="84"/>
      <c r="Z22" s="84"/>
    </row>
    <row r="23">
      <c r="A23" s="88" t="str">
        <f t="shared" ref="A23:A28" si="2">IF(B16&lt;&gt;"", "US-6-TC-" &amp; TEXT(COUNTA($B$3:B23), "00"), "")
</f>
        <v>US-6-TC-21</v>
      </c>
      <c r="B23" s="88" t="s">
        <v>480</v>
      </c>
      <c r="C23" s="88" t="s">
        <v>331</v>
      </c>
      <c r="D23" s="88" t="s">
        <v>379</v>
      </c>
      <c r="E23" s="88" t="s">
        <v>380</v>
      </c>
      <c r="F23" s="86" t="s">
        <v>53</v>
      </c>
      <c r="G23" s="89"/>
      <c r="H23" s="84"/>
      <c r="I23" s="84"/>
      <c r="J23" s="84"/>
      <c r="K23" s="84"/>
      <c r="L23" s="84"/>
      <c r="M23" s="84"/>
      <c r="N23" s="84"/>
      <c r="O23" s="84"/>
      <c r="P23" s="84"/>
      <c r="Q23" s="84"/>
      <c r="R23" s="84"/>
      <c r="S23" s="84"/>
      <c r="T23" s="84"/>
      <c r="U23" s="84"/>
      <c r="V23" s="84"/>
      <c r="W23" s="84"/>
      <c r="X23" s="84"/>
      <c r="Y23" s="84"/>
      <c r="Z23" s="84"/>
    </row>
    <row r="24">
      <c r="A24" s="88" t="str">
        <f t="shared" si="2"/>
        <v>US-6-TC-22</v>
      </c>
      <c r="B24" s="90" t="s">
        <v>481</v>
      </c>
      <c r="C24" s="90" t="s">
        <v>331</v>
      </c>
      <c r="D24" s="90" t="s">
        <v>383</v>
      </c>
      <c r="E24" s="90" t="s">
        <v>384</v>
      </c>
      <c r="F24" s="86" t="s">
        <v>53</v>
      </c>
      <c r="G24" s="91"/>
      <c r="H24" s="84"/>
      <c r="I24" s="84"/>
      <c r="J24" s="84"/>
      <c r="K24" s="84"/>
      <c r="L24" s="84"/>
      <c r="M24" s="84"/>
      <c r="N24" s="84"/>
      <c r="O24" s="84"/>
      <c r="P24" s="84"/>
      <c r="Q24" s="84"/>
      <c r="R24" s="84"/>
      <c r="S24" s="84"/>
      <c r="T24" s="84"/>
      <c r="U24" s="84"/>
      <c r="V24" s="84"/>
      <c r="W24" s="84"/>
      <c r="X24" s="84"/>
      <c r="Y24" s="84"/>
      <c r="Z24" s="84"/>
    </row>
    <row r="25">
      <c r="A25" s="88" t="str">
        <f t="shared" si="2"/>
        <v>US-6-TC-23</v>
      </c>
      <c r="B25" s="88" t="s">
        <v>482</v>
      </c>
      <c r="C25" s="88" t="s">
        <v>331</v>
      </c>
      <c r="D25" s="88" t="s">
        <v>386</v>
      </c>
      <c r="E25" s="88" t="s">
        <v>387</v>
      </c>
      <c r="F25" s="86" t="s">
        <v>53</v>
      </c>
      <c r="G25" s="89"/>
      <c r="H25" s="84"/>
      <c r="I25" s="84"/>
      <c r="J25" s="84"/>
      <c r="K25" s="84"/>
      <c r="L25" s="84"/>
      <c r="M25" s="84"/>
      <c r="N25" s="84"/>
      <c r="O25" s="84"/>
      <c r="P25" s="84"/>
      <c r="Q25" s="84"/>
      <c r="R25" s="84"/>
      <c r="S25" s="84"/>
      <c r="T25" s="84"/>
      <c r="U25" s="84"/>
      <c r="V25" s="84"/>
      <c r="W25" s="84"/>
      <c r="X25" s="84"/>
      <c r="Y25" s="84"/>
      <c r="Z25" s="84"/>
    </row>
    <row r="26">
      <c r="A26" s="88" t="str">
        <f t="shared" si="2"/>
        <v>US-6-TC-24</v>
      </c>
      <c r="B26" s="90" t="s">
        <v>388</v>
      </c>
      <c r="C26" s="90" t="s">
        <v>331</v>
      </c>
      <c r="D26" s="90" t="s">
        <v>389</v>
      </c>
      <c r="E26" s="90" t="s">
        <v>390</v>
      </c>
      <c r="F26" s="86" t="s">
        <v>53</v>
      </c>
      <c r="G26" s="91"/>
      <c r="H26" s="84"/>
      <c r="I26" s="84"/>
      <c r="J26" s="84"/>
      <c r="K26" s="84"/>
      <c r="L26" s="84"/>
      <c r="M26" s="84"/>
      <c r="N26" s="84"/>
      <c r="O26" s="84"/>
      <c r="P26" s="84"/>
      <c r="Q26" s="84"/>
      <c r="R26" s="84"/>
      <c r="S26" s="84"/>
      <c r="T26" s="84"/>
      <c r="U26" s="84"/>
      <c r="V26" s="84"/>
      <c r="W26" s="84"/>
      <c r="X26" s="84"/>
      <c r="Y26" s="84"/>
      <c r="Z26" s="84"/>
    </row>
    <row r="27">
      <c r="A27" s="88" t="str">
        <f t="shared" si="2"/>
        <v>US-6-TC-25</v>
      </c>
      <c r="B27" s="92" t="s">
        <v>483</v>
      </c>
      <c r="C27" s="90" t="s">
        <v>331</v>
      </c>
      <c r="D27" s="90" t="s">
        <v>389</v>
      </c>
      <c r="E27" s="90" t="s">
        <v>390</v>
      </c>
      <c r="F27" s="86" t="s">
        <v>53</v>
      </c>
      <c r="G27" s="91"/>
      <c r="H27" s="84"/>
      <c r="I27" s="84"/>
      <c r="J27" s="84"/>
      <c r="K27" s="84"/>
      <c r="L27" s="84"/>
      <c r="M27" s="84"/>
      <c r="N27" s="84"/>
      <c r="O27" s="84"/>
      <c r="P27" s="84"/>
      <c r="Q27" s="84"/>
      <c r="R27" s="84"/>
      <c r="S27" s="84"/>
      <c r="T27" s="84"/>
      <c r="U27" s="84"/>
      <c r="V27" s="84"/>
      <c r="W27" s="84"/>
      <c r="X27" s="84"/>
      <c r="Y27" s="84"/>
      <c r="Z27" s="84"/>
    </row>
    <row r="28">
      <c r="A28" s="88" t="str">
        <f t="shared" si="2"/>
        <v>US-6-TC-26</v>
      </c>
      <c r="B28" s="88" t="s">
        <v>392</v>
      </c>
      <c r="C28" s="88" t="s">
        <v>331</v>
      </c>
      <c r="D28" s="88" t="s">
        <v>393</v>
      </c>
      <c r="E28" s="88" t="s">
        <v>394</v>
      </c>
      <c r="F28" s="86" t="s">
        <v>53</v>
      </c>
      <c r="G28" s="89"/>
      <c r="H28" s="84"/>
      <c r="I28" s="84"/>
      <c r="J28" s="84"/>
      <c r="K28" s="84"/>
      <c r="L28" s="84"/>
      <c r="M28" s="84"/>
      <c r="N28" s="84"/>
      <c r="O28" s="84"/>
      <c r="P28" s="84"/>
      <c r="Q28" s="84"/>
      <c r="R28" s="84"/>
      <c r="S28" s="84"/>
      <c r="T28" s="84"/>
      <c r="U28" s="84"/>
      <c r="V28" s="84"/>
      <c r="W28" s="84"/>
      <c r="X28" s="84"/>
      <c r="Y28" s="84"/>
      <c r="Z28" s="84"/>
    </row>
    <row r="29">
      <c r="A29" s="88" t="str">
        <f t="shared" ref="A29:A36" si="3">IF(B23&lt;&gt;"", "US-6-TC-" &amp; TEXT(COUNTA($B$3:B29), "00"), "")
</f>
        <v>US-6-TC-27</v>
      </c>
      <c r="B29" s="92" t="s">
        <v>396</v>
      </c>
      <c r="C29" s="90" t="s">
        <v>331</v>
      </c>
      <c r="D29" s="90" t="s">
        <v>397</v>
      </c>
      <c r="E29" s="90" t="s">
        <v>398</v>
      </c>
      <c r="F29" s="86" t="s">
        <v>53</v>
      </c>
      <c r="G29" s="91"/>
      <c r="H29" s="84"/>
      <c r="I29" s="84"/>
      <c r="J29" s="84"/>
      <c r="K29" s="84"/>
      <c r="L29" s="84"/>
      <c r="M29" s="84"/>
      <c r="N29" s="84"/>
      <c r="O29" s="84"/>
      <c r="P29" s="84"/>
      <c r="Q29" s="84"/>
      <c r="R29" s="84"/>
      <c r="S29" s="84"/>
      <c r="T29" s="84"/>
      <c r="U29" s="84"/>
      <c r="V29" s="84"/>
      <c r="W29" s="84"/>
      <c r="X29" s="84"/>
      <c r="Y29" s="84"/>
      <c r="Z29" s="84"/>
    </row>
    <row r="30">
      <c r="A30" s="88" t="str">
        <f t="shared" si="3"/>
        <v>US-6-TC-28</v>
      </c>
      <c r="B30" s="88" t="s">
        <v>399</v>
      </c>
      <c r="C30" s="88" t="s">
        <v>331</v>
      </c>
      <c r="D30" s="88" t="s">
        <v>400</v>
      </c>
      <c r="E30" s="88" t="s">
        <v>401</v>
      </c>
      <c r="F30" s="86" t="s">
        <v>53</v>
      </c>
      <c r="G30" s="89"/>
      <c r="H30" s="84"/>
      <c r="I30" s="84"/>
      <c r="J30" s="84"/>
      <c r="K30" s="84"/>
      <c r="L30" s="84"/>
      <c r="M30" s="84"/>
      <c r="N30" s="84"/>
      <c r="O30" s="84"/>
      <c r="P30" s="84"/>
      <c r="Q30" s="84"/>
      <c r="R30" s="84"/>
      <c r="S30" s="84"/>
      <c r="T30" s="84"/>
      <c r="U30" s="84"/>
      <c r="V30" s="84"/>
      <c r="W30" s="84"/>
      <c r="X30" s="84"/>
      <c r="Y30" s="84"/>
      <c r="Z30" s="84"/>
    </row>
    <row r="31">
      <c r="A31" s="88" t="str">
        <f t="shared" si="3"/>
        <v>US-6-TC-29</v>
      </c>
      <c r="B31" s="92" t="s">
        <v>484</v>
      </c>
      <c r="C31" s="90" t="s">
        <v>331</v>
      </c>
      <c r="D31" s="90" t="s">
        <v>403</v>
      </c>
      <c r="E31" s="90" t="s">
        <v>404</v>
      </c>
      <c r="F31" s="86" t="s">
        <v>53</v>
      </c>
      <c r="G31" s="91"/>
      <c r="H31" s="84"/>
      <c r="I31" s="84"/>
      <c r="J31" s="84"/>
      <c r="K31" s="84"/>
      <c r="L31" s="84"/>
      <c r="M31" s="84"/>
      <c r="N31" s="84"/>
      <c r="O31" s="84"/>
      <c r="P31" s="84"/>
      <c r="Q31" s="84"/>
      <c r="R31" s="84"/>
      <c r="S31" s="84"/>
      <c r="T31" s="84"/>
      <c r="U31" s="84"/>
      <c r="V31" s="84"/>
      <c r="W31" s="84"/>
      <c r="X31" s="84"/>
      <c r="Y31" s="84"/>
      <c r="Z31" s="84"/>
    </row>
    <row r="32">
      <c r="A32" s="88" t="str">
        <f t="shared" si="3"/>
        <v>US-6-TC-30</v>
      </c>
      <c r="B32" s="92" t="s">
        <v>485</v>
      </c>
      <c r="C32" s="90" t="s">
        <v>331</v>
      </c>
      <c r="D32" s="90" t="s">
        <v>403</v>
      </c>
      <c r="E32" s="90" t="s">
        <v>404</v>
      </c>
      <c r="F32" s="86" t="s">
        <v>53</v>
      </c>
      <c r="G32" s="91"/>
      <c r="H32" s="84"/>
      <c r="I32" s="84"/>
      <c r="J32" s="84"/>
      <c r="K32" s="84"/>
      <c r="L32" s="84"/>
      <c r="M32" s="84"/>
      <c r="N32" s="84"/>
      <c r="O32" s="84"/>
      <c r="P32" s="84"/>
      <c r="Q32" s="84"/>
      <c r="R32" s="84"/>
      <c r="S32" s="84"/>
      <c r="T32" s="84"/>
      <c r="U32" s="84"/>
      <c r="V32" s="84"/>
      <c r="W32" s="84"/>
      <c r="X32" s="84"/>
      <c r="Y32" s="84"/>
      <c r="Z32" s="84"/>
    </row>
    <row r="33">
      <c r="A33" s="88" t="str">
        <f t="shared" si="3"/>
        <v>US-6-TC-31</v>
      </c>
      <c r="B33" s="88" t="s">
        <v>405</v>
      </c>
      <c r="C33" s="88" t="s">
        <v>331</v>
      </c>
      <c r="D33" s="88" t="s">
        <v>406</v>
      </c>
      <c r="E33" s="88" t="s">
        <v>407</v>
      </c>
      <c r="F33" s="86" t="s">
        <v>53</v>
      </c>
      <c r="G33" s="89"/>
      <c r="H33" s="84"/>
      <c r="I33" s="84"/>
      <c r="J33" s="84"/>
      <c r="K33" s="84"/>
      <c r="L33" s="84"/>
      <c r="M33" s="84"/>
      <c r="N33" s="84"/>
      <c r="O33" s="84"/>
      <c r="P33" s="84"/>
      <c r="Q33" s="84"/>
      <c r="R33" s="84"/>
      <c r="S33" s="84"/>
      <c r="T33" s="84"/>
      <c r="U33" s="84"/>
      <c r="V33" s="84"/>
      <c r="W33" s="84"/>
      <c r="X33" s="84"/>
      <c r="Y33" s="84"/>
      <c r="Z33" s="84"/>
    </row>
    <row r="34">
      <c r="A34" s="88" t="str">
        <f t="shared" si="3"/>
        <v>US-6-TC-32</v>
      </c>
      <c r="B34" s="90" t="s">
        <v>410</v>
      </c>
      <c r="C34" s="90" t="s">
        <v>331</v>
      </c>
      <c r="D34" s="88" t="s">
        <v>411</v>
      </c>
      <c r="E34" s="90" t="s">
        <v>412</v>
      </c>
      <c r="F34" s="86" t="s">
        <v>53</v>
      </c>
      <c r="G34" s="91"/>
      <c r="H34" s="84"/>
      <c r="I34" s="84"/>
      <c r="J34" s="84"/>
      <c r="K34" s="84"/>
      <c r="L34" s="84"/>
      <c r="M34" s="84"/>
      <c r="N34" s="84"/>
      <c r="O34" s="84"/>
      <c r="P34" s="84"/>
      <c r="Q34" s="84"/>
      <c r="R34" s="84"/>
      <c r="S34" s="84"/>
      <c r="T34" s="84"/>
      <c r="U34" s="84"/>
      <c r="V34" s="84"/>
      <c r="W34" s="84"/>
      <c r="X34" s="84"/>
      <c r="Y34" s="84"/>
      <c r="Z34" s="84"/>
    </row>
    <row r="35">
      <c r="A35" s="88" t="str">
        <f t="shared" si="3"/>
        <v>US-6-TC-33</v>
      </c>
      <c r="B35" s="88" t="s">
        <v>486</v>
      </c>
      <c r="C35" s="88" t="s">
        <v>331</v>
      </c>
      <c r="D35" s="88" t="s">
        <v>487</v>
      </c>
      <c r="E35" s="88" t="s">
        <v>488</v>
      </c>
      <c r="F35" s="86" t="s">
        <v>53</v>
      </c>
      <c r="G35" s="89"/>
      <c r="H35" s="84"/>
      <c r="I35" s="84"/>
      <c r="J35" s="84"/>
      <c r="K35" s="84"/>
      <c r="L35" s="84"/>
      <c r="M35" s="84"/>
      <c r="N35" s="84"/>
      <c r="O35" s="84"/>
      <c r="P35" s="84"/>
      <c r="Q35" s="84"/>
      <c r="R35" s="84"/>
      <c r="S35" s="84"/>
      <c r="T35" s="84"/>
      <c r="U35" s="84"/>
      <c r="V35" s="84"/>
      <c r="W35" s="84"/>
      <c r="X35" s="84"/>
      <c r="Y35" s="84"/>
      <c r="Z35" s="84"/>
    </row>
    <row r="36">
      <c r="A36" s="88" t="str">
        <f t="shared" si="3"/>
        <v>US-6-TC-34</v>
      </c>
      <c r="B36" s="86" t="s">
        <v>489</v>
      </c>
      <c r="C36" s="86" t="s">
        <v>331</v>
      </c>
      <c r="D36" s="86" t="s">
        <v>451</v>
      </c>
      <c r="E36" s="86" t="s">
        <v>452</v>
      </c>
      <c r="F36" s="86" t="s">
        <v>53</v>
      </c>
      <c r="G36" s="93"/>
      <c r="H36" s="84"/>
      <c r="I36" s="84"/>
      <c r="J36" s="84"/>
      <c r="K36" s="84"/>
      <c r="L36" s="84"/>
      <c r="M36" s="84"/>
      <c r="N36" s="84"/>
      <c r="O36" s="84"/>
      <c r="P36" s="84"/>
      <c r="Q36" s="84"/>
      <c r="R36" s="84"/>
      <c r="S36" s="84"/>
      <c r="T36" s="84"/>
      <c r="U36" s="84"/>
      <c r="V36" s="84"/>
      <c r="W36" s="84"/>
      <c r="X36" s="84"/>
      <c r="Y36" s="84"/>
      <c r="Z36" s="84"/>
    </row>
    <row r="37">
      <c r="A37" s="88" t="str">
        <f t="shared" ref="A37:A42" si="4">IF(B32&lt;&gt;"", "US-6-TC-" &amp; TEXT(COUNTA($B$3:B37), "00"), "")
</f>
        <v>US-6-TC-35</v>
      </c>
      <c r="B37" s="86" t="s">
        <v>490</v>
      </c>
      <c r="C37" s="86" t="s">
        <v>331</v>
      </c>
      <c r="D37" s="86" t="s">
        <v>451</v>
      </c>
      <c r="E37" s="86" t="s">
        <v>339</v>
      </c>
      <c r="F37" s="86" t="s">
        <v>53</v>
      </c>
      <c r="G37" s="93"/>
      <c r="H37" s="84"/>
      <c r="I37" s="84"/>
      <c r="J37" s="84"/>
      <c r="K37" s="84"/>
      <c r="L37" s="84"/>
      <c r="M37" s="84"/>
      <c r="N37" s="84"/>
      <c r="O37" s="84"/>
      <c r="P37" s="84"/>
      <c r="Q37" s="84"/>
      <c r="R37" s="84"/>
      <c r="S37" s="84"/>
      <c r="T37" s="84"/>
      <c r="U37" s="84"/>
      <c r="V37" s="84"/>
      <c r="W37" s="84"/>
      <c r="X37" s="84"/>
      <c r="Y37" s="84"/>
      <c r="Z37" s="84"/>
    </row>
    <row r="38">
      <c r="A38" s="88" t="str">
        <f t="shared" si="4"/>
        <v>US-6-TC-36</v>
      </c>
      <c r="B38" s="86" t="s">
        <v>491</v>
      </c>
      <c r="C38" s="86" t="s">
        <v>331</v>
      </c>
      <c r="D38" s="86" t="s">
        <v>451</v>
      </c>
      <c r="E38" s="86" t="s">
        <v>341</v>
      </c>
      <c r="F38" s="86" t="s">
        <v>53</v>
      </c>
      <c r="G38" s="93"/>
      <c r="H38" s="84"/>
      <c r="I38" s="84"/>
      <c r="J38" s="84"/>
      <c r="K38" s="84"/>
      <c r="L38" s="84"/>
      <c r="M38" s="84"/>
      <c r="N38" s="84"/>
      <c r="O38" s="84"/>
      <c r="P38" s="84"/>
      <c r="Q38" s="84"/>
      <c r="R38" s="84"/>
      <c r="S38" s="84"/>
      <c r="T38" s="84"/>
      <c r="U38" s="84"/>
      <c r="V38" s="84"/>
      <c r="W38" s="84"/>
      <c r="X38" s="84"/>
      <c r="Y38" s="84"/>
      <c r="Z38" s="84"/>
    </row>
    <row r="39">
      <c r="A39" s="88" t="str">
        <f t="shared" si="4"/>
        <v>US-6-TC-37</v>
      </c>
      <c r="B39" s="86" t="s">
        <v>492</v>
      </c>
      <c r="C39" s="86" t="s">
        <v>331</v>
      </c>
      <c r="D39" s="86" t="s">
        <v>451</v>
      </c>
      <c r="E39" s="86" t="s">
        <v>493</v>
      </c>
      <c r="F39" s="86" t="s">
        <v>53</v>
      </c>
      <c r="G39" s="93"/>
      <c r="H39" s="84"/>
      <c r="I39" s="84"/>
      <c r="J39" s="84"/>
      <c r="K39" s="84"/>
      <c r="L39" s="84"/>
      <c r="M39" s="84"/>
      <c r="N39" s="84"/>
      <c r="O39" s="84"/>
      <c r="P39" s="84"/>
      <c r="Q39" s="84"/>
      <c r="R39" s="84"/>
      <c r="S39" s="84"/>
      <c r="T39" s="84"/>
      <c r="U39" s="84"/>
      <c r="V39" s="84"/>
      <c r="W39" s="84"/>
      <c r="X39" s="84"/>
      <c r="Y39" s="84"/>
      <c r="Z39" s="84"/>
    </row>
    <row r="40">
      <c r="A40" s="88" t="str">
        <f t="shared" si="4"/>
        <v>US-6-TC-38</v>
      </c>
      <c r="B40" s="86" t="s">
        <v>494</v>
      </c>
      <c r="C40" s="86" t="s">
        <v>331</v>
      </c>
      <c r="D40" s="86" t="s">
        <v>451</v>
      </c>
      <c r="E40" s="86" t="s">
        <v>339</v>
      </c>
      <c r="F40" s="86" t="s">
        <v>53</v>
      </c>
      <c r="G40" s="93"/>
      <c r="H40" s="84"/>
      <c r="I40" s="84"/>
      <c r="J40" s="84"/>
      <c r="K40" s="84"/>
      <c r="L40" s="84"/>
      <c r="M40" s="84"/>
      <c r="N40" s="84"/>
      <c r="O40" s="84"/>
      <c r="P40" s="84"/>
      <c r="Q40" s="84"/>
      <c r="R40" s="84"/>
      <c r="S40" s="84"/>
      <c r="T40" s="84"/>
      <c r="U40" s="84"/>
      <c r="V40" s="84"/>
      <c r="W40" s="84"/>
      <c r="X40" s="84"/>
      <c r="Y40" s="84"/>
      <c r="Z40" s="84"/>
    </row>
    <row r="41">
      <c r="A41" s="88" t="str">
        <f t="shared" si="4"/>
        <v>US-6-TC-39</v>
      </c>
      <c r="B41" s="86" t="s">
        <v>495</v>
      </c>
      <c r="C41" s="86" t="s">
        <v>331</v>
      </c>
      <c r="D41" s="86" t="s">
        <v>451</v>
      </c>
      <c r="E41" s="86" t="s">
        <v>496</v>
      </c>
      <c r="F41" s="86" t="s">
        <v>53</v>
      </c>
      <c r="G41" s="93"/>
      <c r="H41" s="84"/>
      <c r="I41" s="84"/>
      <c r="J41" s="84"/>
      <c r="K41" s="84"/>
      <c r="L41" s="84"/>
      <c r="M41" s="84"/>
      <c r="N41" s="84"/>
      <c r="O41" s="84"/>
      <c r="P41" s="84"/>
      <c r="Q41" s="84"/>
      <c r="R41" s="84"/>
      <c r="S41" s="84"/>
      <c r="T41" s="84"/>
      <c r="U41" s="84"/>
      <c r="V41" s="84"/>
      <c r="W41" s="84"/>
      <c r="X41" s="84"/>
      <c r="Y41" s="84"/>
      <c r="Z41" s="84"/>
    </row>
    <row r="42">
      <c r="A42" s="88" t="str">
        <f t="shared" si="4"/>
        <v>US-6-TC-40</v>
      </c>
      <c r="B42" s="86" t="s">
        <v>497</v>
      </c>
      <c r="C42" s="86" t="s">
        <v>331</v>
      </c>
      <c r="D42" s="86" t="s">
        <v>451</v>
      </c>
      <c r="E42" s="86" t="s">
        <v>339</v>
      </c>
      <c r="F42" s="86" t="s">
        <v>53</v>
      </c>
      <c r="G42" s="93"/>
      <c r="H42" s="84"/>
      <c r="I42" s="84"/>
      <c r="J42" s="84"/>
      <c r="K42" s="84"/>
      <c r="L42" s="84"/>
      <c r="M42" s="84"/>
      <c r="N42" s="84"/>
      <c r="O42" s="84"/>
      <c r="P42" s="84"/>
      <c r="Q42" s="84"/>
      <c r="R42" s="84"/>
      <c r="S42" s="84"/>
      <c r="T42" s="84"/>
      <c r="U42" s="84"/>
      <c r="V42" s="84"/>
      <c r="W42" s="84"/>
      <c r="X42" s="84"/>
      <c r="Y42" s="84"/>
      <c r="Z42" s="84"/>
    </row>
    <row r="43">
      <c r="A43" s="88" t="str">
        <f t="shared" ref="A43:A48" si="5">IF(B37&lt;&gt;"", "US-6-TC-" &amp; TEXT(COUNTA($B$3:B43), "00"), "")
</f>
        <v>US-6-TC-41</v>
      </c>
      <c r="B43" s="86" t="s">
        <v>498</v>
      </c>
      <c r="C43" s="86" t="s">
        <v>331</v>
      </c>
      <c r="D43" s="86" t="s">
        <v>451</v>
      </c>
      <c r="E43" s="86" t="s">
        <v>339</v>
      </c>
      <c r="F43" s="86" t="s">
        <v>53</v>
      </c>
      <c r="G43" s="93"/>
      <c r="H43" s="84"/>
      <c r="I43" s="84"/>
      <c r="J43" s="84"/>
      <c r="K43" s="84"/>
      <c r="L43" s="84"/>
      <c r="M43" s="84"/>
      <c r="N43" s="84"/>
      <c r="O43" s="84"/>
      <c r="P43" s="84"/>
      <c r="Q43" s="84"/>
      <c r="R43" s="84"/>
      <c r="S43" s="84"/>
      <c r="T43" s="84"/>
      <c r="U43" s="84"/>
      <c r="V43" s="84"/>
      <c r="W43" s="84"/>
      <c r="X43" s="84"/>
      <c r="Y43" s="84"/>
      <c r="Z43" s="84"/>
    </row>
    <row r="44">
      <c r="A44" s="88" t="str">
        <f t="shared" si="5"/>
        <v>US-6-TC-42</v>
      </c>
      <c r="B44" s="86" t="s">
        <v>499</v>
      </c>
      <c r="C44" s="86" t="s">
        <v>331</v>
      </c>
      <c r="D44" s="86" t="s">
        <v>451</v>
      </c>
      <c r="E44" s="86" t="s">
        <v>500</v>
      </c>
      <c r="F44" s="86" t="s">
        <v>53</v>
      </c>
      <c r="G44" s="93"/>
      <c r="H44" s="84"/>
      <c r="I44" s="84"/>
      <c r="J44" s="84"/>
      <c r="K44" s="84"/>
      <c r="L44" s="84"/>
      <c r="M44" s="84"/>
      <c r="N44" s="84"/>
      <c r="O44" s="84"/>
      <c r="P44" s="84"/>
      <c r="Q44" s="84"/>
      <c r="R44" s="84"/>
      <c r="S44" s="84"/>
      <c r="T44" s="84"/>
      <c r="U44" s="84"/>
      <c r="V44" s="84"/>
      <c r="W44" s="84"/>
      <c r="X44" s="84"/>
      <c r="Y44" s="84"/>
      <c r="Z44" s="84"/>
    </row>
    <row r="45">
      <c r="A45" s="88" t="str">
        <f t="shared" si="5"/>
        <v>US-6-TC-43</v>
      </c>
      <c r="B45" s="86" t="s">
        <v>413</v>
      </c>
      <c r="C45" s="86" t="s">
        <v>331</v>
      </c>
      <c r="D45" s="94" t="s">
        <v>414</v>
      </c>
      <c r="E45" s="86" t="s">
        <v>415</v>
      </c>
      <c r="F45" s="86" t="s">
        <v>53</v>
      </c>
      <c r="G45" s="93"/>
      <c r="H45" s="84"/>
      <c r="I45" s="84"/>
      <c r="J45" s="84"/>
      <c r="K45" s="84"/>
      <c r="L45" s="84"/>
      <c r="M45" s="84"/>
      <c r="N45" s="84"/>
      <c r="O45" s="84"/>
      <c r="P45" s="84"/>
      <c r="Q45" s="84"/>
      <c r="R45" s="84"/>
      <c r="S45" s="84"/>
      <c r="T45" s="84"/>
      <c r="U45" s="84"/>
      <c r="V45" s="84"/>
      <c r="W45" s="84"/>
      <c r="X45" s="84"/>
      <c r="Y45" s="84"/>
      <c r="Z45" s="84"/>
    </row>
    <row r="46">
      <c r="A46" s="88" t="str">
        <f t="shared" si="5"/>
        <v>US-6-TC-44</v>
      </c>
      <c r="B46" s="86" t="s">
        <v>416</v>
      </c>
      <c r="C46" s="86" t="s">
        <v>331</v>
      </c>
      <c r="D46" s="94" t="s">
        <v>417</v>
      </c>
      <c r="E46" s="86" t="s">
        <v>501</v>
      </c>
      <c r="F46" s="86" t="s">
        <v>51</v>
      </c>
      <c r="G46" s="86" t="s">
        <v>118</v>
      </c>
      <c r="H46" s="84"/>
      <c r="I46" s="84"/>
      <c r="J46" s="84"/>
      <c r="K46" s="84"/>
      <c r="L46" s="84"/>
      <c r="M46" s="84"/>
      <c r="N46" s="84"/>
      <c r="O46" s="84"/>
      <c r="P46" s="84"/>
      <c r="Q46" s="84"/>
      <c r="R46" s="84"/>
      <c r="S46" s="84"/>
      <c r="T46" s="84"/>
      <c r="U46" s="84"/>
      <c r="V46" s="84"/>
      <c r="W46" s="84"/>
      <c r="X46" s="84"/>
      <c r="Y46" s="84"/>
      <c r="Z46" s="84"/>
    </row>
    <row r="47">
      <c r="A47" s="88" t="str">
        <f t="shared" si="5"/>
        <v>US-6-TC-45</v>
      </c>
      <c r="B47" s="86" t="s">
        <v>419</v>
      </c>
      <c r="C47" s="86" t="s">
        <v>331</v>
      </c>
      <c r="D47" s="94" t="s">
        <v>420</v>
      </c>
      <c r="E47" s="86" t="s">
        <v>502</v>
      </c>
      <c r="F47" s="86" t="s">
        <v>53</v>
      </c>
      <c r="G47" s="93"/>
      <c r="H47" s="84"/>
      <c r="I47" s="84"/>
      <c r="J47" s="84"/>
      <c r="K47" s="84"/>
      <c r="L47" s="84"/>
      <c r="M47" s="84"/>
      <c r="N47" s="84"/>
      <c r="O47" s="84"/>
      <c r="P47" s="84"/>
      <c r="Q47" s="84"/>
      <c r="R47" s="84"/>
      <c r="S47" s="84"/>
      <c r="T47" s="84"/>
      <c r="U47" s="84"/>
      <c r="V47" s="84"/>
      <c r="W47" s="84"/>
      <c r="X47" s="84"/>
      <c r="Y47" s="84"/>
      <c r="Z47" s="84"/>
    </row>
    <row r="48">
      <c r="A48" s="88" t="str">
        <f t="shared" si="5"/>
        <v>US-6-TC-46</v>
      </c>
      <c r="B48" s="86" t="s">
        <v>422</v>
      </c>
      <c r="C48" s="86" t="s">
        <v>331</v>
      </c>
      <c r="D48" s="94" t="s">
        <v>420</v>
      </c>
      <c r="E48" s="86" t="s">
        <v>423</v>
      </c>
      <c r="F48" s="86" t="s">
        <v>110</v>
      </c>
      <c r="G48" s="95" t="s">
        <v>111</v>
      </c>
      <c r="H48" s="84"/>
      <c r="I48" s="84"/>
      <c r="J48" s="84"/>
      <c r="K48" s="84"/>
      <c r="L48" s="84"/>
      <c r="M48" s="84"/>
      <c r="N48" s="84"/>
      <c r="O48" s="84"/>
      <c r="P48" s="84"/>
      <c r="Q48" s="84"/>
      <c r="R48" s="84"/>
      <c r="S48" s="84"/>
      <c r="T48" s="84"/>
      <c r="U48" s="84"/>
      <c r="V48" s="84"/>
      <c r="W48" s="84"/>
      <c r="X48" s="84"/>
      <c r="Y48" s="84"/>
      <c r="Z48" s="84"/>
    </row>
    <row r="49">
      <c r="A49" s="88" t="str">
        <f t="shared" ref="A49:A52" si="6">IF(B45&lt;&gt;"", "US-6-TC-" &amp; TEXT(COUNTA($B$3:B49), "00"), "")
</f>
        <v>US-6-TC-47</v>
      </c>
      <c r="B49" s="70" t="s">
        <v>430</v>
      </c>
      <c r="C49" s="54" t="s">
        <v>331</v>
      </c>
      <c r="D49" s="70" t="s">
        <v>431</v>
      </c>
      <c r="E49" s="70" t="s">
        <v>503</v>
      </c>
      <c r="F49" s="86" t="s">
        <v>50</v>
      </c>
      <c r="G49" s="84"/>
      <c r="H49" s="84"/>
      <c r="I49" s="84"/>
      <c r="J49" s="84"/>
      <c r="K49" s="84"/>
      <c r="L49" s="84"/>
      <c r="M49" s="84"/>
      <c r="N49" s="84"/>
      <c r="O49" s="84"/>
      <c r="P49" s="84"/>
      <c r="Q49" s="84"/>
      <c r="R49" s="84"/>
      <c r="S49" s="84"/>
      <c r="T49" s="84"/>
      <c r="U49" s="84"/>
      <c r="V49" s="84"/>
      <c r="W49" s="84"/>
      <c r="X49" s="84"/>
      <c r="Y49" s="84"/>
      <c r="Z49" s="84"/>
    </row>
    <row r="50">
      <c r="A50" s="88" t="str">
        <f t="shared" si="6"/>
        <v>US-6-TC-48</v>
      </c>
      <c r="B50" s="70" t="s">
        <v>433</v>
      </c>
      <c r="C50" s="54" t="s">
        <v>331</v>
      </c>
      <c r="D50" s="70" t="s">
        <v>431</v>
      </c>
      <c r="E50" s="70" t="s">
        <v>436</v>
      </c>
      <c r="F50" s="86" t="s">
        <v>50</v>
      </c>
      <c r="G50" s="84"/>
      <c r="H50" s="84"/>
      <c r="I50" s="84"/>
      <c r="J50" s="84"/>
      <c r="K50" s="84"/>
      <c r="L50" s="84"/>
      <c r="M50" s="84"/>
      <c r="N50" s="84"/>
      <c r="O50" s="84"/>
      <c r="P50" s="84"/>
      <c r="Q50" s="84"/>
      <c r="R50" s="84"/>
      <c r="S50" s="84"/>
      <c r="T50" s="84"/>
      <c r="U50" s="84"/>
      <c r="V50" s="84"/>
      <c r="W50" s="84"/>
      <c r="X50" s="84"/>
      <c r="Y50" s="84"/>
      <c r="Z50" s="84"/>
    </row>
    <row r="51">
      <c r="A51" s="88" t="str">
        <f t="shared" si="6"/>
        <v>US-6-TC-49</v>
      </c>
      <c r="B51" s="70" t="s">
        <v>435</v>
      </c>
      <c r="C51" s="54" t="s">
        <v>331</v>
      </c>
      <c r="D51" s="70" t="s">
        <v>431</v>
      </c>
      <c r="E51" s="70" t="s">
        <v>503</v>
      </c>
      <c r="F51" s="86" t="s">
        <v>50</v>
      </c>
      <c r="G51" s="84"/>
      <c r="H51" s="84"/>
      <c r="I51" s="84"/>
      <c r="J51" s="84"/>
      <c r="K51" s="84"/>
      <c r="L51" s="84"/>
      <c r="M51" s="84"/>
      <c r="N51" s="84"/>
      <c r="O51" s="84"/>
      <c r="P51" s="84"/>
      <c r="Q51" s="84"/>
      <c r="R51" s="84"/>
      <c r="S51" s="84"/>
      <c r="T51" s="84"/>
      <c r="U51" s="84"/>
      <c r="V51" s="84"/>
      <c r="W51" s="84"/>
      <c r="X51" s="84"/>
      <c r="Y51" s="84"/>
      <c r="Z51" s="84"/>
    </row>
    <row r="52">
      <c r="A52" s="88" t="str">
        <f t="shared" si="6"/>
        <v>US-6-TC-50</v>
      </c>
      <c r="B52" s="70" t="s">
        <v>437</v>
      </c>
      <c r="C52" s="54" t="s">
        <v>331</v>
      </c>
      <c r="D52" s="70" t="s">
        <v>431</v>
      </c>
      <c r="E52" s="70" t="s">
        <v>436</v>
      </c>
      <c r="F52" s="86" t="s">
        <v>50</v>
      </c>
      <c r="G52" s="84"/>
      <c r="H52" s="84"/>
      <c r="I52" s="84"/>
      <c r="J52" s="84"/>
      <c r="K52" s="84"/>
      <c r="L52" s="84"/>
      <c r="M52" s="84"/>
      <c r="N52" s="84"/>
      <c r="O52" s="84"/>
      <c r="P52" s="84"/>
      <c r="Q52" s="84"/>
      <c r="R52" s="84"/>
      <c r="S52" s="84"/>
      <c r="T52" s="84"/>
      <c r="U52" s="84"/>
      <c r="V52" s="84"/>
      <c r="W52" s="84"/>
      <c r="X52" s="84"/>
      <c r="Y52" s="84"/>
      <c r="Z52" s="84"/>
    </row>
    <row r="53">
      <c r="A53" s="88" t="str">
        <f t="shared" ref="A53:A54" si="7">IF(#REF!&lt;&gt;"", "US-6-TC-" &amp; TEXT(COUNTA($B$3:B53), "00"), "")
</f>
        <v>#REF!</v>
      </c>
      <c r="B53" s="70" t="s">
        <v>438</v>
      </c>
      <c r="C53" s="54" t="s">
        <v>331</v>
      </c>
      <c r="D53" s="70" t="s">
        <v>431</v>
      </c>
      <c r="E53" s="96" t="s">
        <v>503</v>
      </c>
      <c r="F53" s="86" t="s">
        <v>50</v>
      </c>
      <c r="G53" s="84"/>
      <c r="H53" s="84"/>
      <c r="I53" s="84"/>
      <c r="J53" s="84"/>
      <c r="K53" s="84"/>
      <c r="L53" s="84"/>
      <c r="M53" s="84"/>
      <c r="N53" s="84"/>
      <c r="O53" s="84"/>
      <c r="P53" s="84"/>
      <c r="Q53" s="84"/>
      <c r="R53" s="84"/>
      <c r="S53" s="84"/>
      <c r="T53" s="84"/>
      <c r="U53" s="84"/>
      <c r="V53" s="84"/>
      <c r="W53" s="84"/>
      <c r="X53" s="84"/>
      <c r="Y53" s="84"/>
      <c r="Z53" s="84"/>
    </row>
    <row r="54">
      <c r="A54" s="88" t="str">
        <f t="shared" si="7"/>
        <v>#REF!</v>
      </c>
      <c r="B54" s="70" t="s">
        <v>439</v>
      </c>
      <c r="C54" s="54" t="s">
        <v>331</v>
      </c>
      <c r="D54" s="70" t="s">
        <v>431</v>
      </c>
      <c r="E54" s="96" t="s">
        <v>436</v>
      </c>
      <c r="F54" s="86" t="s">
        <v>50</v>
      </c>
      <c r="G54" s="84"/>
      <c r="H54" s="84"/>
      <c r="I54" s="84"/>
      <c r="J54" s="84"/>
      <c r="K54" s="84"/>
      <c r="L54" s="84"/>
      <c r="M54" s="84"/>
      <c r="N54" s="84"/>
      <c r="O54" s="84"/>
      <c r="P54" s="84"/>
      <c r="Q54" s="84"/>
      <c r="R54" s="84"/>
      <c r="S54" s="84"/>
      <c r="T54" s="84"/>
      <c r="U54" s="84"/>
      <c r="V54" s="84"/>
      <c r="W54" s="84"/>
      <c r="X54" s="84"/>
      <c r="Y54" s="84"/>
      <c r="Z54" s="84"/>
    </row>
    <row r="55">
      <c r="A55" s="88" t="str">
        <f t="shared" ref="A55:A57" si="8">IF(B49&lt;&gt;"", "US-6-TC-" &amp; TEXT(COUNTA($B$3:B55), "00"), "")
</f>
        <v>US-6-TC-53</v>
      </c>
      <c r="B55" s="70" t="s">
        <v>440</v>
      </c>
      <c r="C55" s="54" t="s">
        <v>331</v>
      </c>
      <c r="D55" s="70" t="s">
        <v>431</v>
      </c>
      <c r="E55" s="96" t="s">
        <v>503</v>
      </c>
      <c r="F55" s="86" t="s">
        <v>50</v>
      </c>
      <c r="G55" s="84"/>
      <c r="H55" s="84"/>
      <c r="I55" s="84"/>
      <c r="J55" s="84"/>
      <c r="K55" s="84"/>
      <c r="L55" s="84"/>
      <c r="M55" s="84"/>
      <c r="N55" s="84"/>
      <c r="O55" s="84"/>
      <c r="P55" s="84"/>
      <c r="Q55" s="84"/>
      <c r="R55" s="84"/>
      <c r="S55" s="84"/>
      <c r="T55" s="84"/>
      <c r="U55" s="84"/>
      <c r="V55" s="84"/>
      <c r="W55" s="84"/>
      <c r="X55" s="84"/>
      <c r="Y55" s="84"/>
      <c r="Z55" s="84"/>
    </row>
    <row r="56">
      <c r="A56" s="88" t="str">
        <f t="shared" si="8"/>
        <v>US-6-TC-54</v>
      </c>
      <c r="B56" s="70" t="s">
        <v>441</v>
      </c>
      <c r="C56" s="54" t="s">
        <v>331</v>
      </c>
      <c r="D56" s="70" t="s">
        <v>431</v>
      </c>
      <c r="E56" s="96" t="s">
        <v>436</v>
      </c>
      <c r="F56" s="86" t="s">
        <v>50</v>
      </c>
      <c r="G56" s="84"/>
      <c r="H56" s="84"/>
      <c r="I56" s="84"/>
      <c r="J56" s="84"/>
      <c r="K56" s="84"/>
      <c r="L56" s="84"/>
      <c r="M56" s="84"/>
      <c r="N56" s="84"/>
      <c r="O56" s="84"/>
      <c r="P56" s="84"/>
      <c r="Q56" s="84"/>
      <c r="R56" s="84"/>
      <c r="S56" s="84"/>
      <c r="T56" s="84"/>
      <c r="U56" s="84"/>
      <c r="V56" s="84"/>
      <c r="W56" s="84"/>
      <c r="X56" s="84"/>
      <c r="Y56" s="84"/>
      <c r="Z56" s="84"/>
    </row>
    <row r="57">
      <c r="A57" s="88" t="str">
        <f t="shared" si="8"/>
        <v>US-6-TC-55</v>
      </c>
      <c r="B57" s="70" t="s">
        <v>442</v>
      </c>
      <c r="C57" s="54" t="s">
        <v>331</v>
      </c>
      <c r="D57" s="70" t="s">
        <v>431</v>
      </c>
      <c r="E57" s="96" t="s">
        <v>503</v>
      </c>
      <c r="F57" s="86" t="s">
        <v>50</v>
      </c>
      <c r="G57" s="84"/>
      <c r="H57" s="84"/>
      <c r="I57" s="84"/>
      <c r="J57" s="84"/>
      <c r="K57" s="84"/>
      <c r="L57" s="84"/>
      <c r="M57" s="84"/>
      <c r="N57" s="84"/>
      <c r="O57" s="84"/>
      <c r="P57" s="84"/>
      <c r="Q57" s="84"/>
      <c r="R57" s="84"/>
      <c r="S57" s="84"/>
      <c r="T57" s="84"/>
      <c r="U57" s="84"/>
      <c r="V57" s="84"/>
      <c r="W57" s="84"/>
      <c r="X57" s="84"/>
      <c r="Y57" s="84"/>
      <c r="Z57" s="84"/>
    </row>
    <row r="58">
      <c r="A58" s="88" t="str">
        <f t="shared" ref="A58:A62" si="9">IF(B53&lt;&gt;"", "US-6-TC-" &amp; TEXT(COUNTA($B$3:B58), "00"), "")
</f>
        <v>US-6-TC-56</v>
      </c>
      <c r="B58" s="70" t="s">
        <v>504</v>
      </c>
      <c r="C58" s="54" t="s">
        <v>331</v>
      </c>
      <c r="D58" s="70" t="s">
        <v>431</v>
      </c>
      <c r="E58" s="70" t="s">
        <v>436</v>
      </c>
      <c r="F58" s="86" t="s">
        <v>50</v>
      </c>
      <c r="G58" s="84"/>
      <c r="H58" s="84"/>
      <c r="I58" s="84"/>
      <c r="J58" s="84"/>
      <c r="K58" s="84"/>
      <c r="L58" s="84"/>
      <c r="M58" s="84"/>
      <c r="N58" s="84"/>
      <c r="O58" s="84"/>
      <c r="P58" s="84"/>
      <c r="Q58" s="84"/>
      <c r="R58" s="84"/>
      <c r="S58" s="84"/>
      <c r="T58" s="84"/>
      <c r="U58" s="84"/>
      <c r="V58" s="84"/>
      <c r="W58" s="84"/>
      <c r="X58" s="84"/>
      <c r="Y58" s="84"/>
      <c r="Z58" s="84"/>
    </row>
    <row r="59">
      <c r="A59" s="88" t="str">
        <f t="shared" si="9"/>
        <v>US-6-TC-57</v>
      </c>
      <c r="B59" s="70" t="s">
        <v>443</v>
      </c>
      <c r="C59" s="54" t="s">
        <v>331</v>
      </c>
      <c r="D59" s="70" t="s">
        <v>431</v>
      </c>
      <c r="E59" s="96" t="s">
        <v>503</v>
      </c>
      <c r="F59" s="86" t="s">
        <v>50</v>
      </c>
      <c r="G59" s="84"/>
      <c r="H59" s="84"/>
      <c r="I59" s="84"/>
      <c r="J59" s="84"/>
      <c r="K59" s="84"/>
      <c r="L59" s="84"/>
      <c r="M59" s="84"/>
      <c r="N59" s="84"/>
      <c r="O59" s="84"/>
      <c r="P59" s="84"/>
      <c r="Q59" s="84"/>
      <c r="R59" s="84"/>
      <c r="S59" s="84"/>
      <c r="T59" s="84"/>
      <c r="U59" s="84"/>
      <c r="V59" s="84"/>
      <c r="W59" s="84"/>
      <c r="X59" s="84"/>
      <c r="Y59" s="84"/>
      <c r="Z59" s="84"/>
    </row>
    <row r="60">
      <c r="A60" s="88" t="str">
        <f t="shared" si="9"/>
        <v>US-6-TC-58</v>
      </c>
      <c r="B60" s="70" t="s">
        <v>444</v>
      </c>
      <c r="C60" s="54" t="s">
        <v>331</v>
      </c>
      <c r="D60" s="70" t="s">
        <v>431</v>
      </c>
      <c r="E60" s="70" t="s">
        <v>436</v>
      </c>
      <c r="F60" s="86" t="s">
        <v>50</v>
      </c>
      <c r="G60" s="84"/>
      <c r="H60" s="84"/>
      <c r="I60" s="84"/>
      <c r="J60" s="84"/>
      <c r="K60" s="84"/>
      <c r="L60" s="84"/>
      <c r="M60" s="84"/>
      <c r="N60" s="84"/>
      <c r="O60" s="84"/>
      <c r="P60" s="84"/>
      <c r="Q60" s="84"/>
      <c r="R60" s="84"/>
      <c r="S60" s="84"/>
      <c r="T60" s="84"/>
      <c r="U60" s="84"/>
      <c r="V60" s="84"/>
      <c r="W60" s="84"/>
      <c r="X60" s="84"/>
      <c r="Y60" s="84"/>
      <c r="Z60" s="84"/>
    </row>
    <row r="61">
      <c r="A61" s="88" t="str">
        <f t="shared" si="9"/>
        <v>US-6-TC-59</v>
      </c>
      <c r="B61" s="70" t="s">
        <v>445</v>
      </c>
      <c r="C61" s="54" t="s">
        <v>331</v>
      </c>
      <c r="D61" s="70" t="s">
        <v>431</v>
      </c>
      <c r="E61" s="96" t="s">
        <v>503</v>
      </c>
      <c r="F61" s="86" t="s">
        <v>50</v>
      </c>
      <c r="G61" s="84"/>
      <c r="H61" s="84"/>
      <c r="I61" s="84"/>
      <c r="J61" s="84"/>
      <c r="K61" s="84"/>
      <c r="L61" s="84"/>
      <c r="M61" s="84"/>
      <c r="N61" s="84"/>
      <c r="O61" s="84"/>
      <c r="P61" s="84"/>
      <c r="Q61" s="84"/>
      <c r="R61" s="84"/>
      <c r="S61" s="84"/>
      <c r="T61" s="84"/>
      <c r="U61" s="84"/>
      <c r="V61" s="84"/>
      <c r="W61" s="84"/>
      <c r="X61" s="84"/>
      <c r="Y61" s="84"/>
      <c r="Z61" s="84"/>
    </row>
    <row r="62">
      <c r="A62" s="88" t="str">
        <f t="shared" si="9"/>
        <v>US-6-TC-60</v>
      </c>
      <c r="B62" s="70" t="s">
        <v>446</v>
      </c>
      <c r="C62" s="54" t="s">
        <v>331</v>
      </c>
      <c r="D62" s="70" t="s">
        <v>431</v>
      </c>
      <c r="E62" s="70" t="s">
        <v>436</v>
      </c>
      <c r="F62" s="86" t="s">
        <v>50</v>
      </c>
      <c r="G62" s="84"/>
      <c r="H62" s="84"/>
      <c r="I62" s="84"/>
      <c r="J62" s="84"/>
      <c r="K62" s="84"/>
      <c r="L62" s="84"/>
      <c r="M62" s="84"/>
      <c r="N62" s="84"/>
      <c r="O62" s="84"/>
      <c r="P62" s="84"/>
      <c r="Q62" s="84"/>
      <c r="R62" s="84"/>
      <c r="S62" s="84"/>
      <c r="T62" s="84"/>
      <c r="U62" s="84"/>
      <c r="V62" s="84"/>
      <c r="W62" s="84"/>
      <c r="X62" s="84"/>
      <c r="Y62" s="84"/>
      <c r="Z62" s="84"/>
    </row>
    <row r="63">
      <c r="A63" s="88" t="str">
        <f>IF(#REF!&lt;&gt;"", "US-6-TC-" &amp; TEXT(COUNTA($B$3:B63), "00"), "")
</f>
        <v>#REF!</v>
      </c>
      <c r="B63" s="70" t="s">
        <v>447</v>
      </c>
      <c r="C63" s="54" t="s">
        <v>331</v>
      </c>
      <c r="D63" s="70" t="s">
        <v>431</v>
      </c>
      <c r="E63" s="96" t="s">
        <v>503</v>
      </c>
      <c r="F63" s="86" t="s">
        <v>50</v>
      </c>
      <c r="G63" s="84"/>
      <c r="H63" s="84"/>
      <c r="I63" s="84"/>
      <c r="J63" s="84"/>
      <c r="K63" s="84"/>
      <c r="L63" s="84"/>
      <c r="M63" s="84"/>
      <c r="N63" s="84"/>
      <c r="O63" s="84"/>
      <c r="P63" s="84"/>
      <c r="Q63" s="84"/>
      <c r="R63" s="84"/>
      <c r="S63" s="84"/>
      <c r="T63" s="84"/>
      <c r="U63" s="84"/>
      <c r="V63" s="84"/>
      <c r="W63" s="84"/>
      <c r="X63" s="84"/>
      <c r="Y63" s="84"/>
      <c r="Z63" s="84"/>
    </row>
    <row r="64">
      <c r="A64" s="88" t="str">
        <f>IF(B58&lt;&gt;"", "US-6-TC-" &amp; TEXT(COUNTA($B$3:B64), "00"), "")
</f>
        <v>US-6-TC-62</v>
      </c>
      <c r="B64" s="70" t="s">
        <v>448</v>
      </c>
      <c r="C64" s="54" t="s">
        <v>331</v>
      </c>
      <c r="D64" s="70" t="s">
        <v>431</v>
      </c>
      <c r="E64" s="70" t="s">
        <v>436</v>
      </c>
      <c r="F64" s="86" t="s">
        <v>50</v>
      </c>
      <c r="G64" s="84"/>
      <c r="H64" s="84"/>
      <c r="I64" s="84"/>
      <c r="J64" s="84"/>
      <c r="K64" s="84"/>
      <c r="L64" s="84"/>
      <c r="M64" s="84"/>
      <c r="N64" s="84"/>
      <c r="O64" s="84"/>
      <c r="P64" s="84"/>
      <c r="Q64" s="84"/>
      <c r="R64" s="84"/>
      <c r="S64" s="84"/>
      <c r="T64" s="84"/>
      <c r="U64" s="84"/>
      <c r="V64" s="84"/>
      <c r="W64" s="84"/>
      <c r="X64" s="84"/>
      <c r="Y64" s="84"/>
      <c r="Z64" s="84"/>
    </row>
    <row r="65">
      <c r="A65" s="84"/>
      <c r="B65" s="84"/>
      <c r="C65" s="84"/>
      <c r="D65" s="84"/>
      <c r="E65" s="70"/>
      <c r="F65" s="84"/>
      <c r="G65" s="84"/>
      <c r="H65" s="84"/>
      <c r="I65" s="84"/>
      <c r="J65" s="84"/>
      <c r="K65" s="84"/>
      <c r="L65" s="84"/>
      <c r="M65" s="84"/>
      <c r="N65" s="84"/>
      <c r="O65" s="84"/>
      <c r="P65" s="84"/>
      <c r="Q65" s="84"/>
      <c r="R65" s="84"/>
      <c r="S65" s="84"/>
      <c r="T65" s="84"/>
      <c r="U65" s="84"/>
      <c r="V65" s="84"/>
      <c r="W65" s="84"/>
      <c r="X65" s="84"/>
      <c r="Y65" s="84"/>
      <c r="Z65" s="84"/>
    </row>
    <row r="66">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sheetData>
  <dataValidations>
    <dataValidation type="list" allowBlank="1" sqref="F3:F47">
      <formula1>"OPEN,BLOCKED,PASSED,FAILED"</formula1>
    </dataValidation>
    <dataValidation type="list" allowBlank="1" sqref="F48:F64">
      <formula1>"OPEN,BLOCKED,PASSED,FAILED,REQUEST"</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6.0"/>
    <col customWidth="1" min="2" max="2" width="61.13"/>
    <col customWidth="1" min="3" max="3" width="50.13"/>
    <col customWidth="1" min="4" max="4" width="48.38"/>
    <col customWidth="1" min="5" max="5" width="56.63"/>
    <col customWidth="1" min="6" max="6" width="21.63"/>
    <col customWidth="1" min="7" max="7" width="22.75"/>
  </cols>
  <sheetData>
    <row r="1">
      <c r="A1" s="47" t="s">
        <v>36</v>
      </c>
      <c r="B1" s="97" t="s">
        <v>505</v>
      </c>
      <c r="C1" s="49"/>
      <c r="D1" s="49"/>
      <c r="E1" s="49"/>
      <c r="F1" s="98"/>
      <c r="G1" s="49"/>
    </row>
    <row r="2">
      <c r="A2" s="51" t="s">
        <v>14</v>
      </c>
      <c r="B2" s="51" t="s">
        <v>16</v>
      </c>
      <c r="C2" s="52" t="s">
        <v>18</v>
      </c>
      <c r="D2" s="52" t="s">
        <v>20</v>
      </c>
      <c r="E2" s="52" t="s">
        <v>219</v>
      </c>
      <c r="F2" s="52" t="s">
        <v>24</v>
      </c>
      <c r="G2" s="52" t="s">
        <v>26</v>
      </c>
    </row>
    <row r="3">
      <c r="A3" s="53" t="str">
        <f t="shared" ref="A3:A52" si="1">IF(B1&lt;&gt;"", "US-7-TC-" &amp; TEXT(COUNTA($B$3:B3), "00"), "")
</f>
        <v>US-7-TC-01</v>
      </c>
      <c r="B3" s="53" t="s">
        <v>506</v>
      </c>
      <c r="C3" s="54" t="s">
        <v>331</v>
      </c>
      <c r="D3" s="54" t="s">
        <v>332</v>
      </c>
      <c r="E3" s="55" t="s">
        <v>333</v>
      </c>
      <c r="F3" s="55" t="s">
        <v>53</v>
      </c>
      <c r="G3" s="55"/>
    </row>
    <row r="4">
      <c r="A4" s="53" t="str">
        <f t="shared" si="1"/>
        <v>US-7-TC-02</v>
      </c>
      <c r="B4" s="53" t="s">
        <v>334</v>
      </c>
      <c r="C4" s="54" t="s">
        <v>331</v>
      </c>
      <c r="D4" s="54" t="s">
        <v>332</v>
      </c>
      <c r="E4" s="55" t="s">
        <v>333</v>
      </c>
      <c r="F4" s="55" t="s">
        <v>53</v>
      </c>
      <c r="G4" s="55"/>
    </row>
    <row r="5">
      <c r="A5" s="53" t="str">
        <f t="shared" si="1"/>
        <v>US-7-TC-03</v>
      </c>
      <c r="B5" s="53" t="s">
        <v>335</v>
      </c>
      <c r="C5" s="54" t="s">
        <v>331</v>
      </c>
      <c r="D5" s="54" t="s">
        <v>332</v>
      </c>
      <c r="E5" s="55" t="s">
        <v>333</v>
      </c>
      <c r="F5" s="55" t="s">
        <v>53</v>
      </c>
      <c r="G5" s="56"/>
    </row>
    <row r="6">
      <c r="A6" s="53" t="str">
        <f t="shared" si="1"/>
        <v>US-7-TC-04</v>
      </c>
      <c r="B6" s="53" t="s">
        <v>336</v>
      </c>
      <c r="C6" s="54" t="s">
        <v>331</v>
      </c>
      <c r="D6" s="54" t="s">
        <v>332</v>
      </c>
      <c r="E6" s="55" t="s">
        <v>337</v>
      </c>
      <c r="F6" s="55" t="s">
        <v>53</v>
      </c>
      <c r="G6" s="56"/>
    </row>
    <row r="7">
      <c r="A7" s="53" t="str">
        <f t="shared" si="1"/>
        <v>US-7-TC-05</v>
      </c>
      <c r="B7" s="53" t="s">
        <v>338</v>
      </c>
      <c r="C7" s="54" t="s">
        <v>331</v>
      </c>
      <c r="D7" s="54" t="s">
        <v>332</v>
      </c>
      <c r="E7" s="55" t="s">
        <v>339</v>
      </c>
      <c r="F7" s="55" t="s">
        <v>53</v>
      </c>
      <c r="G7" s="56"/>
    </row>
    <row r="8">
      <c r="A8" s="53" t="str">
        <f t="shared" si="1"/>
        <v>US-7-TC-06</v>
      </c>
      <c r="B8" s="53" t="s">
        <v>340</v>
      </c>
      <c r="C8" s="54" t="s">
        <v>331</v>
      </c>
      <c r="D8" s="54" t="s">
        <v>332</v>
      </c>
      <c r="E8" s="55" t="s">
        <v>341</v>
      </c>
      <c r="F8" s="55" t="s">
        <v>53</v>
      </c>
      <c r="G8" s="56"/>
    </row>
    <row r="9">
      <c r="A9" s="53" t="str">
        <f t="shared" si="1"/>
        <v>US-7-TC-07</v>
      </c>
      <c r="B9" s="53" t="s">
        <v>342</v>
      </c>
      <c r="C9" s="54" t="s">
        <v>331</v>
      </c>
      <c r="D9" s="54" t="s">
        <v>332</v>
      </c>
      <c r="E9" s="55" t="s">
        <v>343</v>
      </c>
      <c r="F9" s="55" t="s">
        <v>53</v>
      </c>
      <c r="G9" s="56"/>
    </row>
    <row r="10">
      <c r="A10" s="53" t="str">
        <f t="shared" si="1"/>
        <v>US-7-TC-08</v>
      </c>
      <c r="B10" s="64" t="s">
        <v>344</v>
      </c>
      <c r="C10" s="54" t="s">
        <v>331</v>
      </c>
      <c r="D10" s="54" t="s">
        <v>332</v>
      </c>
      <c r="E10" s="55" t="s">
        <v>345</v>
      </c>
      <c r="F10" s="55" t="s">
        <v>53</v>
      </c>
      <c r="G10" s="56"/>
    </row>
    <row r="11">
      <c r="A11" s="53" t="str">
        <f t="shared" si="1"/>
        <v>US-7-TC-09</v>
      </c>
      <c r="B11" s="53" t="s">
        <v>346</v>
      </c>
      <c r="C11" s="54" t="s">
        <v>331</v>
      </c>
      <c r="D11" s="54" t="s">
        <v>332</v>
      </c>
      <c r="E11" s="55" t="s">
        <v>347</v>
      </c>
      <c r="F11" s="55" t="s">
        <v>53</v>
      </c>
      <c r="G11" s="56"/>
    </row>
    <row r="12">
      <c r="A12" s="53" t="str">
        <f t="shared" si="1"/>
        <v>US-7-TC-10</v>
      </c>
      <c r="B12" s="53" t="s">
        <v>348</v>
      </c>
      <c r="C12" s="54" t="s">
        <v>331</v>
      </c>
      <c r="D12" s="54" t="s">
        <v>332</v>
      </c>
      <c r="E12" s="55" t="s">
        <v>349</v>
      </c>
      <c r="F12" s="55" t="s">
        <v>53</v>
      </c>
      <c r="G12" s="56"/>
    </row>
    <row r="13">
      <c r="A13" s="53" t="str">
        <f t="shared" si="1"/>
        <v>US-7-TC-11</v>
      </c>
      <c r="B13" s="53" t="s">
        <v>507</v>
      </c>
      <c r="C13" s="54" t="s">
        <v>331</v>
      </c>
      <c r="D13" s="62" t="s">
        <v>508</v>
      </c>
      <c r="E13" s="55" t="s">
        <v>509</v>
      </c>
      <c r="F13" s="55" t="s">
        <v>53</v>
      </c>
      <c r="G13" s="56"/>
    </row>
    <row r="14">
      <c r="A14" s="53" t="str">
        <f t="shared" si="1"/>
        <v>US-7-TC-12</v>
      </c>
      <c r="B14" s="53" t="s">
        <v>510</v>
      </c>
      <c r="C14" s="54" t="s">
        <v>331</v>
      </c>
      <c r="D14" s="62" t="s">
        <v>508</v>
      </c>
      <c r="E14" s="55" t="s">
        <v>509</v>
      </c>
      <c r="F14" s="55" t="s">
        <v>53</v>
      </c>
      <c r="G14" s="56"/>
    </row>
    <row r="15">
      <c r="A15" s="53" t="str">
        <f t="shared" si="1"/>
        <v>US-7-TC-13</v>
      </c>
      <c r="B15" s="53" t="s">
        <v>511</v>
      </c>
      <c r="C15" s="54" t="s">
        <v>331</v>
      </c>
      <c r="D15" s="62" t="s">
        <v>508</v>
      </c>
      <c r="E15" s="55" t="s">
        <v>512</v>
      </c>
      <c r="F15" s="55" t="s">
        <v>53</v>
      </c>
      <c r="G15" s="56"/>
    </row>
    <row r="16">
      <c r="A16" s="53" t="str">
        <f t="shared" si="1"/>
        <v>US-7-TC-14</v>
      </c>
      <c r="B16" s="53" t="s">
        <v>513</v>
      </c>
      <c r="C16" s="54" t="s">
        <v>331</v>
      </c>
      <c r="D16" s="62" t="s">
        <v>508</v>
      </c>
      <c r="E16" s="55" t="s">
        <v>514</v>
      </c>
      <c r="F16" s="55" t="s">
        <v>53</v>
      </c>
      <c r="G16" s="56"/>
    </row>
    <row r="17">
      <c r="A17" s="53" t="str">
        <f t="shared" si="1"/>
        <v>US-7-TC-15</v>
      </c>
      <c r="B17" s="53" t="s">
        <v>515</v>
      </c>
      <c r="C17" s="54" t="s">
        <v>331</v>
      </c>
      <c r="D17" s="62" t="s">
        <v>508</v>
      </c>
      <c r="E17" s="55" t="s">
        <v>509</v>
      </c>
      <c r="F17" s="55" t="s">
        <v>53</v>
      </c>
      <c r="G17" s="56"/>
    </row>
    <row r="18">
      <c r="A18" s="53" t="str">
        <f t="shared" si="1"/>
        <v>US-7-TC-16</v>
      </c>
      <c r="B18" s="53" t="s">
        <v>516</v>
      </c>
      <c r="C18" s="54" t="s">
        <v>331</v>
      </c>
      <c r="D18" s="62" t="s">
        <v>508</v>
      </c>
      <c r="E18" s="55" t="s">
        <v>517</v>
      </c>
      <c r="F18" s="55" t="s">
        <v>53</v>
      </c>
      <c r="G18" s="56"/>
    </row>
    <row r="19">
      <c r="A19" s="53" t="str">
        <f t="shared" si="1"/>
        <v>US-7-TC-17</v>
      </c>
      <c r="B19" s="53" t="s">
        <v>518</v>
      </c>
      <c r="C19" s="54" t="s">
        <v>331</v>
      </c>
      <c r="D19" s="62" t="s">
        <v>508</v>
      </c>
      <c r="E19" s="55" t="s">
        <v>519</v>
      </c>
      <c r="F19" s="55" t="s">
        <v>53</v>
      </c>
      <c r="G19" s="56"/>
    </row>
    <row r="20">
      <c r="A20" s="53" t="str">
        <f t="shared" si="1"/>
        <v>US-7-TC-18</v>
      </c>
      <c r="B20" s="53" t="s">
        <v>520</v>
      </c>
      <c r="C20" s="54" t="s">
        <v>331</v>
      </c>
      <c r="D20" s="62" t="s">
        <v>508</v>
      </c>
      <c r="E20" s="55" t="s">
        <v>509</v>
      </c>
      <c r="F20" s="55" t="s">
        <v>53</v>
      </c>
      <c r="G20" s="56"/>
    </row>
    <row r="21">
      <c r="A21" s="53" t="str">
        <f t="shared" si="1"/>
        <v>US-7-TC-19</v>
      </c>
      <c r="B21" s="53" t="s">
        <v>521</v>
      </c>
      <c r="C21" s="54" t="s">
        <v>331</v>
      </c>
      <c r="D21" s="62" t="s">
        <v>508</v>
      </c>
      <c r="E21" s="55" t="s">
        <v>522</v>
      </c>
      <c r="F21" s="55" t="s">
        <v>53</v>
      </c>
      <c r="G21" s="56"/>
    </row>
    <row r="22">
      <c r="A22" s="53" t="str">
        <f t="shared" si="1"/>
        <v>US-7-TC-20</v>
      </c>
      <c r="B22" s="53" t="s">
        <v>523</v>
      </c>
      <c r="C22" s="54" t="s">
        <v>331</v>
      </c>
      <c r="D22" s="62" t="s">
        <v>508</v>
      </c>
      <c r="E22" s="55" t="s">
        <v>524</v>
      </c>
      <c r="F22" s="55" t="s">
        <v>53</v>
      </c>
      <c r="G22" s="56"/>
    </row>
    <row r="23">
      <c r="A23" s="53" t="str">
        <f t="shared" si="1"/>
        <v>US-7-TC-21</v>
      </c>
      <c r="B23" s="53" t="s">
        <v>525</v>
      </c>
      <c r="C23" s="54" t="s">
        <v>331</v>
      </c>
      <c r="D23" s="62" t="s">
        <v>508</v>
      </c>
      <c r="E23" s="55" t="s">
        <v>509</v>
      </c>
      <c r="F23" s="55" t="s">
        <v>53</v>
      </c>
      <c r="G23" s="56"/>
    </row>
    <row r="24">
      <c r="A24" s="53" t="str">
        <f t="shared" si="1"/>
        <v>US-7-TC-22</v>
      </c>
      <c r="B24" s="53" t="s">
        <v>526</v>
      </c>
      <c r="C24" s="54" t="s">
        <v>331</v>
      </c>
      <c r="D24" s="62" t="s">
        <v>508</v>
      </c>
      <c r="E24" s="55" t="s">
        <v>509</v>
      </c>
      <c r="F24" s="55" t="s">
        <v>53</v>
      </c>
      <c r="G24" s="56"/>
    </row>
    <row r="25">
      <c r="A25" s="53" t="str">
        <f t="shared" si="1"/>
        <v>US-7-TC-23</v>
      </c>
      <c r="B25" s="53" t="s">
        <v>527</v>
      </c>
      <c r="C25" s="54" t="s">
        <v>331</v>
      </c>
      <c r="D25" s="62" t="s">
        <v>508</v>
      </c>
      <c r="E25" s="55" t="s">
        <v>509</v>
      </c>
      <c r="F25" s="55" t="s">
        <v>53</v>
      </c>
      <c r="G25" s="56"/>
    </row>
    <row r="26">
      <c r="A26" s="53" t="str">
        <f t="shared" si="1"/>
        <v>US-7-TC-24</v>
      </c>
      <c r="B26" s="53" t="s">
        <v>528</v>
      </c>
      <c r="C26" s="54" t="s">
        <v>331</v>
      </c>
      <c r="D26" s="62" t="s">
        <v>508</v>
      </c>
      <c r="E26" s="55" t="s">
        <v>509</v>
      </c>
      <c r="F26" s="55" t="s">
        <v>53</v>
      </c>
      <c r="G26" s="56"/>
    </row>
    <row r="27">
      <c r="A27" s="53" t="str">
        <f t="shared" si="1"/>
        <v>US-7-TC-25</v>
      </c>
      <c r="B27" s="53" t="s">
        <v>529</v>
      </c>
      <c r="C27" s="54" t="s">
        <v>331</v>
      </c>
      <c r="D27" s="62" t="s">
        <v>508</v>
      </c>
      <c r="E27" s="55" t="s">
        <v>530</v>
      </c>
      <c r="F27" s="55" t="s">
        <v>53</v>
      </c>
      <c r="G27" s="56"/>
    </row>
    <row r="28">
      <c r="A28" s="53" t="str">
        <f t="shared" si="1"/>
        <v>US-7-TC-26</v>
      </c>
      <c r="B28" s="53" t="s">
        <v>531</v>
      </c>
      <c r="C28" s="54" t="s">
        <v>331</v>
      </c>
      <c r="D28" s="62" t="s">
        <v>508</v>
      </c>
      <c r="E28" s="55" t="s">
        <v>532</v>
      </c>
      <c r="F28" s="55" t="s">
        <v>53</v>
      </c>
      <c r="G28" s="56"/>
    </row>
    <row r="29">
      <c r="A29" s="53" t="str">
        <f t="shared" si="1"/>
        <v>US-7-TC-27</v>
      </c>
      <c r="B29" s="53" t="s">
        <v>533</v>
      </c>
      <c r="C29" s="54" t="s">
        <v>331</v>
      </c>
      <c r="D29" s="62" t="s">
        <v>508</v>
      </c>
      <c r="E29" s="55" t="s">
        <v>509</v>
      </c>
      <c r="F29" s="55" t="s">
        <v>53</v>
      </c>
      <c r="G29" s="56"/>
    </row>
    <row r="30">
      <c r="A30" s="53" t="str">
        <f t="shared" si="1"/>
        <v>US-7-TC-28</v>
      </c>
      <c r="B30" s="53" t="s">
        <v>534</v>
      </c>
      <c r="C30" s="54" t="s">
        <v>331</v>
      </c>
      <c r="D30" s="62"/>
      <c r="E30" s="55"/>
      <c r="F30" s="55" t="s">
        <v>53</v>
      </c>
      <c r="G30" s="56"/>
    </row>
    <row r="31">
      <c r="A31" s="53" t="str">
        <f t="shared" si="1"/>
        <v>US-7-TC-29</v>
      </c>
      <c r="B31" s="53" t="s">
        <v>535</v>
      </c>
      <c r="C31" s="54" t="s">
        <v>331</v>
      </c>
      <c r="D31" s="62"/>
      <c r="E31" s="55"/>
      <c r="F31" s="55" t="s">
        <v>53</v>
      </c>
      <c r="G31" s="56"/>
    </row>
    <row r="32">
      <c r="A32" s="53" t="str">
        <f t="shared" si="1"/>
        <v>US-7-TC-30</v>
      </c>
      <c r="B32" s="53" t="s">
        <v>536</v>
      </c>
      <c r="C32" s="54" t="s">
        <v>331</v>
      </c>
      <c r="D32" s="62" t="s">
        <v>508</v>
      </c>
      <c r="E32" s="55" t="s">
        <v>509</v>
      </c>
      <c r="F32" s="55" t="s">
        <v>53</v>
      </c>
      <c r="G32" s="56"/>
    </row>
    <row r="33">
      <c r="A33" s="53" t="str">
        <f t="shared" si="1"/>
        <v>US-7-TC-31</v>
      </c>
      <c r="B33" s="64" t="s">
        <v>537</v>
      </c>
      <c r="C33" s="54" t="s">
        <v>331</v>
      </c>
      <c r="D33" s="62" t="s">
        <v>508</v>
      </c>
      <c r="E33" s="55" t="s">
        <v>538</v>
      </c>
      <c r="F33" s="55" t="s">
        <v>53</v>
      </c>
      <c r="G33" s="56"/>
    </row>
    <row r="34">
      <c r="A34" s="53" t="str">
        <f t="shared" si="1"/>
        <v>US-7-TC-32</v>
      </c>
      <c r="B34" s="53" t="s">
        <v>539</v>
      </c>
      <c r="C34" s="54" t="s">
        <v>331</v>
      </c>
      <c r="D34" s="62" t="s">
        <v>508</v>
      </c>
      <c r="E34" s="55" t="s">
        <v>540</v>
      </c>
      <c r="F34" s="55" t="s">
        <v>53</v>
      </c>
      <c r="G34" s="56"/>
    </row>
    <row r="35">
      <c r="A35" s="53" t="str">
        <f t="shared" si="1"/>
        <v>US-7-TC-33</v>
      </c>
      <c r="B35" s="53" t="s">
        <v>541</v>
      </c>
      <c r="C35" s="54" t="s">
        <v>331</v>
      </c>
      <c r="D35" s="62" t="s">
        <v>508</v>
      </c>
      <c r="E35" s="55" t="s">
        <v>509</v>
      </c>
      <c r="F35" s="55" t="s">
        <v>53</v>
      </c>
      <c r="G35" s="56"/>
    </row>
    <row r="36">
      <c r="A36" s="53" t="str">
        <f t="shared" si="1"/>
        <v>US-7-TC-34</v>
      </c>
      <c r="B36" s="53" t="s">
        <v>542</v>
      </c>
      <c r="C36" s="54" t="s">
        <v>331</v>
      </c>
      <c r="D36" s="62" t="s">
        <v>508</v>
      </c>
      <c r="E36" s="55" t="s">
        <v>509</v>
      </c>
      <c r="F36" s="55" t="s">
        <v>53</v>
      </c>
      <c r="G36" s="56"/>
    </row>
    <row r="37">
      <c r="A37" s="53" t="str">
        <f t="shared" si="1"/>
        <v>US-7-TC-35</v>
      </c>
      <c r="B37" s="53" t="s">
        <v>543</v>
      </c>
      <c r="C37" s="54" t="s">
        <v>331</v>
      </c>
      <c r="D37" s="62" t="s">
        <v>508</v>
      </c>
      <c r="E37" s="55" t="s">
        <v>509</v>
      </c>
      <c r="F37" s="55" t="s">
        <v>53</v>
      </c>
      <c r="G37" s="56"/>
    </row>
    <row r="38">
      <c r="A38" s="53" t="str">
        <f t="shared" si="1"/>
        <v>US-7-TC-36</v>
      </c>
      <c r="B38" s="53" t="s">
        <v>544</v>
      </c>
      <c r="C38" s="54" t="s">
        <v>331</v>
      </c>
      <c r="D38" s="62" t="s">
        <v>508</v>
      </c>
      <c r="E38" s="55" t="s">
        <v>509</v>
      </c>
      <c r="F38" s="55" t="s">
        <v>53</v>
      </c>
      <c r="G38" s="56"/>
    </row>
    <row r="39">
      <c r="A39" s="53" t="str">
        <f t="shared" si="1"/>
        <v>US-7-TC-37</v>
      </c>
      <c r="B39" s="53" t="s">
        <v>545</v>
      </c>
      <c r="C39" s="54" t="s">
        <v>331</v>
      </c>
      <c r="D39" s="62" t="s">
        <v>508</v>
      </c>
      <c r="E39" s="55" t="s">
        <v>546</v>
      </c>
      <c r="F39" s="55" t="s">
        <v>53</v>
      </c>
      <c r="G39" s="56"/>
    </row>
    <row r="40">
      <c r="A40" s="53" t="str">
        <f t="shared" si="1"/>
        <v>US-7-TC-38</v>
      </c>
      <c r="B40" s="53" t="s">
        <v>547</v>
      </c>
      <c r="C40" s="54" t="s">
        <v>331</v>
      </c>
      <c r="D40" s="62" t="s">
        <v>508</v>
      </c>
      <c r="E40" s="55" t="s">
        <v>548</v>
      </c>
      <c r="F40" s="55" t="s">
        <v>53</v>
      </c>
      <c r="G40" s="56"/>
    </row>
    <row r="41">
      <c r="A41" s="53" t="str">
        <f t="shared" si="1"/>
        <v>US-7-TC-39</v>
      </c>
      <c r="B41" s="53" t="s">
        <v>549</v>
      </c>
      <c r="C41" s="54" t="s">
        <v>331</v>
      </c>
      <c r="D41" s="62" t="s">
        <v>508</v>
      </c>
      <c r="E41" s="55" t="s">
        <v>509</v>
      </c>
      <c r="F41" s="55" t="s">
        <v>53</v>
      </c>
      <c r="G41" s="56"/>
    </row>
    <row r="42">
      <c r="A42" s="53" t="str">
        <f t="shared" si="1"/>
        <v>US-7-TC-40</v>
      </c>
      <c r="B42" s="53" t="s">
        <v>550</v>
      </c>
      <c r="C42" s="54" t="s">
        <v>331</v>
      </c>
      <c r="D42" s="62" t="s">
        <v>508</v>
      </c>
      <c r="E42" s="55" t="s">
        <v>551</v>
      </c>
      <c r="F42" s="55" t="s">
        <v>53</v>
      </c>
      <c r="G42" s="56"/>
    </row>
    <row r="43">
      <c r="A43" s="53" t="str">
        <f t="shared" si="1"/>
        <v>US-7-TC-41</v>
      </c>
      <c r="B43" s="53" t="s">
        <v>552</v>
      </c>
      <c r="C43" s="54" t="s">
        <v>331</v>
      </c>
      <c r="D43" s="62" t="s">
        <v>508</v>
      </c>
      <c r="E43" s="55" t="s">
        <v>553</v>
      </c>
      <c r="F43" s="55" t="s">
        <v>53</v>
      </c>
      <c r="G43" s="56"/>
    </row>
    <row r="44">
      <c r="A44" s="53" t="str">
        <f t="shared" si="1"/>
        <v>US-7-TC-42</v>
      </c>
      <c r="B44" s="64" t="s">
        <v>554</v>
      </c>
      <c r="C44" s="54" t="s">
        <v>331</v>
      </c>
      <c r="D44" s="62" t="s">
        <v>508</v>
      </c>
      <c r="E44" s="55" t="s">
        <v>509</v>
      </c>
      <c r="F44" s="55" t="s">
        <v>53</v>
      </c>
      <c r="G44" s="56"/>
    </row>
    <row r="45">
      <c r="A45" s="53" t="str">
        <f t="shared" si="1"/>
        <v>US-7-TC-43</v>
      </c>
      <c r="B45" s="53" t="s">
        <v>555</v>
      </c>
      <c r="C45" s="54" t="s">
        <v>331</v>
      </c>
      <c r="D45" s="62" t="s">
        <v>508</v>
      </c>
      <c r="E45" s="55" t="s">
        <v>556</v>
      </c>
      <c r="F45" s="55" t="s">
        <v>53</v>
      </c>
      <c r="G45" s="56"/>
    </row>
    <row r="46">
      <c r="A46" s="53" t="str">
        <f t="shared" si="1"/>
        <v>US-7-TC-44</v>
      </c>
      <c r="B46" s="64" t="s">
        <v>557</v>
      </c>
      <c r="C46" s="54" t="s">
        <v>331</v>
      </c>
      <c r="D46" s="62" t="s">
        <v>508</v>
      </c>
      <c r="E46" s="55" t="s">
        <v>558</v>
      </c>
      <c r="F46" s="55" t="s">
        <v>53</v>
      </c>
      <c r="G46" s="56"/>
    </row>
    <row r="47">
      <c r="A47" s="53" t="str">
        <f t="shared" si="1"/>
        <v>US-7-TC-45</v>
      </c>
      <c r="B47" s="53" t="s">
        <v>559</v>
      </c>
      <c r="C47" s="54" t="s">
        <v>331</v>
      </c>
      <c r="D47" s="62" t="s">
        <v>508</v>
      </c>
      <c r="E47" s="55" t="s">
        <v>509</v>
      </c>
      <c r="F47" s="55" t="s">
        <v>53</v>
      </c>
      <c r="G47" s="56"/>
    </row>
    <row r="48">
      <c r="A48" s="53" t="str">
        <f t="shared" si="1"/>
        <v>US-7-TC-46</v>
      </c>
      <c r="B48" s="53" t="s">
        <v>560</v>
      </c>
      <c r="C48" s="54" t="s">
        <v>331</v>
      </c>
      <c r="D48" s="62" t="s">
        <v>508</v>
      </c>
      <c r="E48" s="55" t="s">
        <v>561</v>
      </c>
      <c r="F48" s="55" t="s">
        <v>53</v>
      </c>
      <c r="G48" s="56"/>
    </row>
    <row r="49">
      <c r="A49" s="53" t="str">
        <f t="shared" si="1"/>
        <v>US-7-TC-47</v>
      </c>
      <c r="B49" s="53" t="s">
        <v>562</v>
      </c>
      <c r="C49" s="54" t="s">
        <v>331</v>
      </c>
      <c r="D49" s="62" t="s">
        <v>508</v>
      </c>
      <c r="E49" s="55" t="s">
        <v>563</v>
      </c>
      <c r="F49" s="55" t="s">
        <v>53</v>
      </c>
      <c r="G49" s="56"/>
    </row>
    <row r="50">
      <c r="A50" s="53" t="str">
        <f t="shared" si="1"/>
        <v>US-7-TC-48</v>
      </c>
      <c r="B50" s="53" t="s">
        <v>564</v>
      </c>
      <c r="C50" s="54" t="s">
        <v>331</v>
      </c>
      <c r="D50" s="62" t="s">
        <v>508</v>
      </c>
      <c r="E50" s="55" t="s">
        <v>509</v>
      </c>
      <c r="F50" s="55" t="s">
        <v>53</v>
      </c>
      <c r="G50" s="56"/>
    </row>
    <row r="51">
      <c r="A51" s="53" t="str">
        <f t="shared" si="1"/>
        <v>US-7-TC-49</v>
      </c>
      <c r="B51" s="53" t="s">
        <v>565</v>
      </c>
      <c r="C51" s="54" t="s">
        <v>331</v>
      </c>
      <c r="D51" s="62" t="s">
        <v>508</v>
      </c>
      <c r="E51" s="55" t="s">
        <v>566</v>
      </c>
      <c r="F51" s="55" t="s">
        <v>53</v>
      </c>
      <c r="G51" s="56"/>
    </row>
    <row r="52">
      <c r="A52" s="53" t="str">
        <f t="shared" si="1"/>
        <v>US-7-TC-50</v>
      </c>
      <c r="B52" s="53" t="s">
        <v>567</v>
      </c>
      <c r="C52" s="54" t="s">
        <v>331</v>
      </c>
      <c r="D52" s="62" t="s">
        <v>508</v>
      </c>
      <c r="E52" s="55" t="s">
        <v>568</v>
      </c>
      <c r="F52" s="55" t="s">
        <v>53</v>
      </c>
      <c r="G52" s="56"/>
    </row>
    <row r="53">
      <c r="A53" s="53" t="str">
        <f>IF('PG-US-08'!B59&lt;&gt;"", "US-7-TC-" &amp; TEXT(COUNTA($B$3:B53), "00"), "")
</f>
        <v>US-7-TC-51</v>
      </c>
      <c r="B53" s="53" t="s">
        <v>413</v>
      </c>
      <c r="C53" s="54" t="s">
        <v>331</v>
      </c>
      <c r="D53" s="62" t="s">
        <v>508</v>
      </c>
      <c r="E53" s="55" t="s">
        <v>415</v>
      </c>
      <c r="F53" s="55" t="s">
        <v>53</v>
      </c>
      <c r="G53" s="56"/>
    </row>
    <row r="54">
      <c r="A54" s="53" t="str">
        <f>IF('PG-US-08'!B60&lt;&gt;"", "US-7-TC-" &amp; TEXT(COUNTA($B$3:B54), "00"), "")
</f>
        <v>US-7-TC-52</v>
      </c>
      <c r="B54" s="53" t="s">
        <v>416</v>
      </c>
      <c r="C54" s="54" t="s">
        <v>331</v>
      </c>
      <c r="D54" s="62" t="s">
        <v>508</v>
      </c>
      <c r="E54" s="55" t="s">
        <v>418</v>
      </c>
      <c r="F54" s="55" t="s">
        <v>51</v>
      </c>
      <c r="G54" s="55" t="s">
        <v>138</v>
      </c>
    </row>
    <row r="55">
      <c r="A55" s="53" t="str">
        <f t="shared" ref="A55:A65" si="2">IF(B53&lt;&gt;"", "US-7-TC-" &amp; TEXT(COUNTA($B$3:B55), "00"), "")
</f>
        <v>US-7-TC-53</v>
      </c>
      <c r="B55" s="53" t="s">
        <v>419</v>
      </c>
      <c r="C55" s="54" t="s">
        <v>331</v>
      </c>
      <c r="D55" s="62" t="s">
        <v>508</v>
      </c>
      <c r="E55" s="55" t="s">
        <v>569</v>
      </c>
      <c r="F55" s="55" t="s">
        <v>51</v>
      </c>
      <c r="G55" s="55" t="s">
        <v>141</v>
      </c>
    </row>
    <row r="56">
      <c r="A56" s="53" t="str">
        <f t="shared" si="2"/>
        <v>US-7-TC-54</v>
      </c>
      <c r="B56" s="53" t="s">
        <v>422</v>
      </c>
      <c r="C56" s="54" t="s">
        <v>331</v>
      </c>
      <c r="D56" s="62" t="s">
        <v>508</v>
      </c>
      <c r="E56" s="55" t="s">
        <v>423</v>
      </c>
      <c r="F56" s="55" t="s">
        <v>110</v>
      </c>
      <c r="G56" s="95" t="s">
        <v>111</v>
      </c>
    </row>
    <row r="57">
      <c r="A57" s="53" t="str">
        <f t="shared" si="2"/>
        <v>US-7-TC-55</v>
      </c>
      <c r="B57" s="70" t="s">
        <v>570</v>
      </c>
      <c r="C57" s="54" t="s">
        <v>331</v>
      </c>
      <c r="D57" s="70" t="s">
        <v>431</v>
      </c>
      <c r="E57" s="70" t="s">
        <v>503</v>
      </c>
      <c r="F57" s="55" t="s">
        <v>50</v>
      </c>
    </row>
    <row r="58">
      <c r="A58" s="53" t="str">
        <f t="shared" si="2"/>
        <v>US-7-TC-56</v>
      </c>
      <c r="B58" s="70" t="s">
        <v>571</v>
      </c>
      <c r="C58" s="54" t="s">
        <v>331</v>
      </c>
      <c r="D58" s="70" t="s">
        <v>431</v>
      </c>
      <c r="E58" s="70" t="s">
        <v>436</v>
      </c>
      <c r="F58" s="55" t="s">
        <v>50</v>
      </c>
    </row>
    <row r="59">
      <c r="A59" s="53" t="str">
        <f t="shared" si="2"/>
        <v>US-7-TC-57</v>
      </c>
      <c r="B59" s="70" t="s">
        <v>572</v>
      </c>
      <c r="C59" s="54" t="s">
        <v>331</v>
      </c>
      <c r="D59" s="70" t="s">
        <v>431</v>
      </c>
      <c r="E59" s="70" t="s">
        <v>503</v>
      </c>
      <c r="F59" s="55" t="s">
        <v>50</v>
      </c>
    </row>
    <row r="60">
      <c r="A60" s="53" t="str">
        <f t="shared" si="2"/>
        <v>US-7-TC-58</v>
      </c>
      <c r="B60" s="70" t="s">
        <v>573</v>
      </c>
      <c r="C60" s="54" t="s">
        <v>331</v>
      </c>
      <c r="D60" s="70" t="s">
        <v>431</v>
      </c>
      <c r="E60" s="70" t="s">
        <v>436</v>
      </c>
      <c r="F60" s="55" t="s">
        <v>50</v>
      </c>
    </row>
    <row r="61">
      <c r="A61" s="53" t="str">
        <f t="shared" si="2"/>
        <v>US-7-TC-59</v>
      </c>
      <c r="B61" s="70" t="s">
        <v>574</v>
      </c>
      <c r="C61" s="54" t="s">
        <v>331</v>
      </c>
      <c r="D61" s="70" t="s">
        <v>431</v>
      </c>
      <c r="E61" s="70" t="s">
        <v>503</v>
      </c>
      <c r="F61" s="55" t="s">
        <v>50</v>
      </c>
    </row>
    <row r="62">
      <c r="A62" s="53" t="str">
        <f t="shared" si="2"/>
        <v>US-7-TC-60</v>
      </c>
      <c r="B62" s="70" t="s">
        <v>575</v>
      </c>
      <c r="C62" s="54" t="s">
        <v>331</v>
      </c>
      <c r="D62" s="70" t="s">
        <v>431</v>
      </c>
      <c r="E62" s="70" t="s">
        <v>436</v>
      </c>
      <c r="F62" s="55" t="s">
        <v>50</v>
      </c>
    </row>
    <row r="63">
      <c r="A63" s="53" t="str">
        <f t="shared" si="2"/>
        <v>US-7-TC-61</v>
      </c>
      <c r="B63" s="70" t="s">
        <v>576</v>
      </c>
      <c r="C63" s="54" t="s">
        <v>331</v>
      </c>
      <c r="D63" s="70" t="s">
        <v>431</v>
      </c>
      <c r="E63" s="70" t="s">
        <v>503</v>
      </c>
      <c r="F63" s="55" t="s">
        <v>50</v>
      </c>
    </row>
    <row r="64">
      <c r="A64" s="53" t="str">
        <f t="shared" si="2"/>
        <v>US-7-TC-62</v>
      </c>
      <c r="B64" s="70" t="s">
        <v>577</v>
      </c>
      <c r="C64" s="54" t="s">
        <v>331</v>
      </c>
      <c r="D64" s="70" t="s">
        <v>431</v>
      </c>
      <c r="E64" s="70" t="s">
        <v>436</v>
      </c>
      <c r="F64" s="55" t="s">
        <v>50</v>
      </c>
    </row>
    <row r="65">
      <c r="A65" s="53" t="str">
        <f t="shared" si="2"/>
        <v>US-7-TC-63</v>
      </c>
      <c r="B65" s="70" t="s">
        <v>578</v>
      </c>
      <c r="C65" s="54" t="s">
        <v>331</v>
      </c>
      <c r="D65" s="70" t="s">
        <v>431</v>
      </c>
      <c r="E65" s="70" t="s">
        <v>503</v>
      </c>
      <c r="F65" s="55" t="s">
        <v>50</v>
      </c>
    </row>
    <row r="66">
      <c r="A66" s="53" t="str">
        <f t="shared" ref="A66:A67" si="3">IF(B65&lt;&gt;"", "US-7-TC-" &amp; TEXT(COUNTA($B$3:B66), "00"), "")
</f>
        <v>US-7-TC-64</v>
      </c>
      <c r="B66" s="70" t="s">
        <v>579</v>
      </c>
      <c r="C66" s="54" t="s">
        <v>331</v>
      </c>
      <c r="D66" s="70" t="s">
        <v>431</v>
      </c>
      <c r="E66" s="70" t="s">
        <v>436</v>
      </c>
      <c r="F66" s="55" t="s">
        <v>50</v>
      </c>
    </row>
    <row r="67">
      <c r="A67" s="53" t="str">
        <f t="shared" si="3"/>
        <v>US-7-TC-65</v>
      </c>
      <c r="B67" s="70" t="s">
        <v>580</v>
      </c>
      <c r="C67" s="54" t="s">
        <v>331</v>
      </c>
      <c r="D67" s="70" t="s">
        <v>431</v>
      </c>
      <c r="E67" s="70" t="s">
        <v>503</v>
      </c>
      <c r="F67" s="55" t="s">
        <v>50</v>
      </c>
    </row>
    <row r="68">
      <c r="A68" s="53" t="str">
        <f t="shared" ref="A68:A72" si="4">IF(B66&lt;&gt;"", "US-7-TC-" &amp; TEXT(COUNTA($B$3:B68), "00"), "")
</f>
        <v>US-7-TC-66</v>
      </c>
      <c r="B68" s="70" t="s">
        <v>581</v>
      </c>
      <c r="C68" s="54" t="s">
        <v>331</v>
      </c>
      <c r="D68" s="70" t="s">
        <v>431</v>
      </c>
      <c r="E68" s="70" t="s">
        <v>436</v>
      </c>
      <c r="F68" s="55" t="s">
        <v>50</v>
      </c>
    </row>
    <row r="69">
      <c r="A69" s="53" t="str">
        <f t="shared" si="4"/>
        <v>US-7-TC-67</v>
      </c>
      <c r="B69" s="70" t="s">
        <v>582</v>
      </c>
      <c r="C69" s="54" t="s">
        <v>331</v>
      </c>
      <c r="D69" s="70" t="s">
        <v>431</v>
      </c>
      <c r="E69" s="70" t="s">
        <v>503</v>
      </c>
      <c r="F69" s="55" t="s">
        <v>50</v>
      </c>
    </row>
    <row r="70">
      <c r="A70" s="53" t="str">
        <f t="shared" si="4"/>
        <v>US-7-TC-68</v>
      </c>
      <c r="B70" s="70" t="s">
        <v>583</v>
      </c>
      <c r="C70" s="54" t="s">
        <v>331</v>
      </c>
      <c r="D70" s="70" t="s">
        <v>431</v>
      </c>
      <c r="E70" s="70" t="s">
        <v>436</v>
      </c>
      <c r="F70" s="55" t="s">
        <v>50</v>
      </c>
    </row>
    <row r="71">
      <c r="A71" s="53" t="str">
        <f t="shared" si="4"/>
        <v>US-7-TC-69</v>
      </c>
      <c r="B71" s="70" t="s">
        <v>584</v>
      </c>
      <c r="C71" s="54" t="s">
        <v>331</v>
      </c>
      <c r="D71" s="70" t="s">
        <v>431</v>
      </c>
      <c r="E71" s="70" t="s">
        <v>503</v>
      </c>
      <c r="F71" s="55" t="s">
        <v>50</v>
      </c>
    </row>
    <row r="72">
      <c r="A72" s="53" t="str">
        <f t="shared" si="4"/>
        <v>US-7-TC-70</v>
      </c>
      <c r="B72" s="70" t="s">
        <v>585</v>
      </c>
      <c r="C72" s="54" t="s">
        <v>331</v>
      </c>
      <c r="D72" s="70" t="s">
        <v>431</v>
      </c>
      <c r="E72" s="70" t="s">
        <v>436</v>
      </c>
      <c r="F72" s="55" t="s">
        <v>50</v>
      </c>
    </row>
  </sheetData>
  <dataValidations>
    <dataValidation type="list" allowBlank="1" sqref="F3:F55">
      <formula1>"OPEN,BLOCKED,PASSED,FAILED"</formula1>
    </dataValidation>
    <dataValidation type="list" allowBlank="1" sqref="F56:F72">
      <formula1>"OPEN,BLOCKED,PASSED,FAILED,REQUEST"</formula1>
    </dataValidation>
  </dataValidation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6.88"/>
    <col customWidth="1" min="2" max="2" width="61.13"/>
    <col customWidth="1" min="3" max="3" width="50.13"/>
    <col customWidth="1" min="4" max="4" width="48.38"/>
    <col customWidth="1" min="5" max="5" width="56.63"/>
    <col customWidth="1" min="6" max="6" width="21.63"/>
    <col customWidth="1" min="7" max="7" width="22.75"/>
  </cols>
  <sheetData>
    <row r="1">
      <c r="A1" s="47" t="s">
        <v>37</v>
      </c>
      <c r="B1" s="97" t="s">
        <v>586</v>
      </c>
      <c r="C1" s="49"/>
      <c r="D1" s="49"/>
      <c r="E1" s="49"/>
      <c r="F1" s="98"/>
      <c r="G1" s="49"/>
    </row>
    <row r="2">
      <c r="A2" s="51" t="s">
        <v>14</v>
      </c>
      <c r="B2" s="51" t="s">
        <v>16</v>
      </c>
      <c r="C2" s="52" t="s">
        <v>18</v>
      </c>
      <c r="D2" s="52" t="s">
        <v>20</v>
      </c>
      <c r="E2" s="52" t="s">
        <v>219</v>
      </c>
      <c r="F2" s="52" t="s">
        <v>24</v>
      </c>
      <c r="G2" s="52" t="s">
        <v>26</v>
      </c>
    </row>
    <row r="3">
      <c r="A3" s="53" t="str">
        <f t="shared" ref="A3:A73" si="1">IF(B1&lt;&gt;"", "US-8-TC-" &amp; TEXT(COUNTA($B$3:B3), "00"), "")
</f>
        <v>US-8-TC-01</v>
      </c>
      <c r="B3" s="53" t="s">
        <v>506</v>
      </c>
      <c r="C3" s="54" t="s">
        <v>331</v>
      </c>
      <c r="D3" s="54" t="s">
        <v>332</v>
      </c>
      <c r="E3" s="55" t="s">
        <v>333</v>
      </c>
      <c r="F3" s="55" t="s">
        <v>53</v>
      </c>
      <c r="G3" s="55"/>
    </row>
    <row r="4">
      <c r="A4" s="53" t="str">
        <f t="shared" si="1"/>
        <v>US-8-TC-02</v>
      </c>
      <c r="B4" s="53" t="s">
        <v>587</v>
      </c>
      <c r="C4" s="54" t="s">
        <v>331</v>
      </c>
      <c r="D4" s="54" t="s">
        <v>332</v>
      </c>
      <c r="E4" s="55" t="s">
        <v>333</v>
      </c>
      <c r="F4" s="55" t="s">
        <v>53</v>
      </c>
      <c r="G4" s="55"/>
    </row>
    <row r="5">
      <c r="A5" s="53" t="str">
        <f t="shared" si="1"/>
        <v>US-8-TC-03</v>
      </c>
      <c r="B5" s="53" t="s">
        <v>335</v>
      </c>
      <c r="C5" s="54" t="s">
        <v>331</v>
      </c>
      <c r="D5" s="54" t="s">
        <v>332</v>
      </c>
      <c r="E5" s="55" t="s">
        <v>333</v>
      </c>
      <c r="F5" s="55" t="s">
        <v>53</v>
      </c>
      <c r="G5" s="56"/>
    </row>
    <row r="6">
      <c r="A6" s="53" t="str">
        <f t="shared" si="1"/>
        <v>US-8-TC-04</v>
      </c>
      <c r="B6" s="53" t="s">
        <v>588</v>
      </c>
      <c r="C6" s="54" t="s">
        <v>331</v>
      </c>
      <c r="D6" s="54" t="s">
        <v>332</v>
      </c>
      <c r="E6" s="55" t="s">
        <v>337</v>
      </c>
      <c r="F6" s="55" t="s">
        <v>53</v>
      </c>
      <c r="G6" s="56"/>
    </row>
    <row r="7">
      <c r="A7" s="53" t="str">
        <f t="shared" si="1"/>
        <v>US-8-TC-05</v>
      </c>
      <c r="B7" s="53" t="s">
        <v>490</v>
      </c>
      <c r="C7" s="54" t="s">
        <v>331</v>
      </c>
      <c r="D7" s="54" t="s">
        <v>332</v>
      </c>
      <c r="E7" s="55" t="s">
        <v>339</v>
      </c>
      <c r="F7" s="55" t="s">
        <v>53</v>
      </c>
      <c r="G7" s="56"/>
    </row>
    <row r="8">
      <c r="A8" s="53" t="str">
        <f t="shared" si="1"/>
        <v>US-8-TC-06</v>
      </c>
      <c r="B8" s="53" t="s">
        <v>491</v>
      </c>
      <c r="C8" s="54" t="s">
        <v>331</v>
      </c>
      <c r="D8" s="54" t="s">
        <v>332</v>
      </c>
      <c r="E8" s="55" t="s">
        <v>341</v>
      </c>
      <c r="F8" s="55" t="s">
        <v>53</v>
      </c>
      <c r="G8" s="56"/>
    </row>
    <row r="9">
      <c r="A9" s="53" t="str">
        <f t="shared" si="1"/>
        <v>US-8-TC-07</v>
      </c>
      <c r="B9" s="53" t="s">
        <v>342</v>
      </c>
      <c r="C9" s="54" t="s">
        <v>331</v>
      </c>
      <c r="D9" s="54" t="s">
        <v>332</v>
      </c>
      <c r="E9" s="55" t="s">
        <v>343</v>
      </c>
      <c r="F9" s="55" t="s">
        <v>53</v>
      </c>
      <c r="G9" s="56"/>
    </row>
    <row r="10">
      <c r="A10" s="53" t="str">
        <f t="shared" si="1"/>
        <v>US-8-TC-08</v>
      </c>
      <c r="B10" s="64" t="s">
        <v>344</v>
      </c>
      <c r="C10" s="54" t="s">
        <v>331</v>
      </c>
      <c r="D10" s="54" t="s">
        <v>332</v>
      </c>
      <c r="E10" s="55" t="s">
        <v>345</v>
      </c>
      <c r="F10" s="55" t="s">
        <v>53</v>
      </c>
      <c r="G10" s="56"/>
    </row>
    <row r="11">
      <c r="A11" s="53" t="str">
        <f t="shared" si="1"/>
        <v>US-8-TC-09</v>
      </c>
      <c r="B11" s="53" t="s">
        <v>346</v>
      </c>
      <c r="C11" s="54" t="s">
        <v>331</v>
      </c>
      <c r="D11" s="54" t="s">
        <v>332</v>
      </c>
      <c r="E11" s="55" t="s">
        <v>347</v>
      </c>
      <c r="F11" s="55" t="s">
        <v>53</v>
      </c>
      <c r="G11" s="56"/>
    </row>
    <row r="12">
      <c r="A12" s="53" t="str">
        <f t="shared" si="1"/>
        <v>US-8-TC-10</v>
      </c>
      <c r="B12" s="53" t="s">
        <v>348</v>
      </c>
      <c r="C12" s="54" t="s">
        <v>331</v>
      </c>
      <c r="D12" s="54" t="s">
        <v>332</v>
      </c>
      <c r="E12" s="55" t="s">
        <v>349</v>
      </c>
      <c r="F12" s="55" t="s">
        <v>53</v>
      </c>
      <c r="G12" s="56"/>
    </row>
    <row r="13">
      <c r="A13" s="53" t="str">
        <f t="shared" si="1"/>
        <v>US-8-TC-11</v>
      </c>
      <c r="B13" s="53" t="s">
        <v>507</v>
      </c>
      <c r="C13" s="54" t="s">
        <v>331</v>
      </c>
      <c r="D13" s="62" t="s">
        <v>508</v>
      </c>
      <c r="E13" s="55" t="s">
        <v>509</v>
      </c>
      <c r="F13" s="55" t="s">
        <v>53</v>
      </c>
      <c r="G13" s="56"/>
    </row>
    <row r="14">
      <c r="A14" s="53" t="str">
        <f t="shared" si="1"/>
        <v>US-8-TC-12</v>
      </c>
      <c r="B14" s="53" t="s">
        <v>510</v>
      </c>
      <c r="C14" s="54" t="s">
        <v>331</v>
      </c>
      <c r="D14" s="62" t="s">
        <v>508</v>
      </c>
      <c r="E14" s="55" t="s">
        <v>509</v>
      </c>
      <c r="F14" s="55" t="s">
        <v>53</v>
      </c>
      <c r="G14" s="56"/>
    </row>
    <row r="15">
      <c r="A15" s="53" t="str">
        <f t="shared" si="1"/>
        <v>US-8-TC-13</v>
      </c>
      <c r="B15" s="53" t="s">
        <v>511</v>
      </c>
      <c r="C15" s="54" t="s">
        <v>331</v>
      </c>
      <c r="D15" s="62" t="s">
        <v>508</v>
      </c>
      <c r="E15" s="55" t="s">
        <v>512</v>
      </c>
      <c r="F15" s="55" t="s">
        <v>53</v>
      </c>
      <c r="G15" s="56"/>
    </row>
    <row r="16">
      <c r="A16" s="53" t="str">
        <f t="shared" si="1"/>
        <v>US-8-TC-14</v>
      </c>
      <c r="B16" s="53" t="s">
        <v>513</v>
      </c>
      <c r="C16" s="54" t="s">
        <v>331</v>
      </c>
      <c r="D16" s="62" t="s">
        <v>508</v>
      </c>
      <c r="E16" s="55" t="s">
        <v>514</v>
      </c>
      <c r="F16" s="55" t="s">
        <v>53</v>
      </c>
      <c r="G16" s="56"/>
    </row>
    <row r="17">
      <c r="A17" s="53" t="str">
        <f t="shared" si="1"/>
        <v>US-8-TC-15</v>
      </c>
      <c r="B17" s="53" t="s">
        <v>515</v>
      </c>
      <c r="C17" s="54" t="s">
        <v>331</v>
      </c>
      <c r="D17" s="62" t="s">
        <v>508</v>
      </c>
      <c r="E17" s="55" t="s">
        <v>509</v>
      </c>
      <c r="F17" s="55" t="s">
        <v>53</v>
      </c>
      <c r="G17" s="56"/>
    </row>
    <row r="18">
      <c r="A18" s="53" t="str">
        <f t="shared" si="1"/>
        <v>US-8-TC-16</v>
      </c>
      <c r="B18" s="53" t="s">
        <v>516</v>
      </c>
      <c r="C18" s="54" t="s">
        <v>331</v>
      </c>
      <c r="D18" s="62" t="s">
        <v>508</v>
      </c>
      <c r="E18" s="55" t="s">
        <v>517</v>
      </c>
      <c r="F18" s="55" t="s">
        <v>53</v>
      </c>
      <c r="G18" s="56"/>
    </row>
    <row r="19">
      <c r="A19" s="53" t="str">
        <f t="shared" si="1"/>
        <v>US-8-TC-17</v>
      </c>
      <c r="B19" s="53" t="s">
        <v>518</v>
      </c>
      <c r="C19" s="54" t="s">
        <v>331</v>
      </c>
      <c r="D19" s="62" t="s">
        <v>508</v>
      </c>
      <c r="E19" s="55" t="s">
        <v>519</v>
      </c>
      <c r="F19" s="55" t="s">
        <v>53</v>
      </c>
      <c r="G19" s="56"/>
    </row>
    <row r="20">
      <c r="A20" s="53" t="str">
        <f t="shared" si="1"/>
        <v>US-8-TC-18</v>
      </c>
      <c r="B20" s="53" t="s">
        <v>520</v>
      </c>
      <c r="C20" s="54" t="s">
        <v>331</v>
      </c>
      <c r="D20" s="62" t="s">
        <v>508</v>
      </c>
      <c r="E20" s="55" t="s">
        <v>509</v>
      </c>
      <c r="F20" s="55" t="s">
        <v>53</v>
      </c>
      <c r="G20" s="56"/>
    </row>
    <row r="21">
      <c r="A21" s="53" t="str">
        <f t="shared" si="1"/>
        <v>US-8-TC-19</v>
      </c>
      <c r="B21" s="53" t="s">
        <v>521</v>
      </c>
      <c r="C21" s="54" t="s">
        <v>331</v>
      </c>
      <c r="D21" s="62" t="s">
        <v>508</v>
      </c>
      <c r="E21" s="55" t="s">
        <v>522</v>
      </c>
      <c r="F21" s="55" t="s">
        <v>53</v>
      </c>
      <c r="G21" s="56"/>
    </row>
    <row r="22">
      <c r="A22" s="53" t="str">
        <f t="shared" si="1"/>
        <v>US-8-TC-20</v>
      </c>
      <c r="B22" s="53" t="s">
        <v>523</v>
      </c>
      <c r="C22" s="54" t="s">
        <v>331</v>
      </c>
      <c r="D22" s="62" t="s">
        <v>508</v>
      </c>
      <c r="E22" s="55" t="s">
        <v>524</v>
      </c>
      <c r="F22" s="55" t="s">
        <v>53</v>
      </c>
      <c r="G22" s="56"/>
    </row>
    <row r="23">
      <c r="A23" s="53" t="str">
        <f t="shared" si="1"/>
        <v>US-8-TC-21</v>
      </c>
      <c r="B23" s="53" t="s">
        <v>525</v>
      </c>
      <c r="C23" s="54" t="s">
        <v>331</v>
      </c>
      <c r="D23" s="62" t="s">
        <v>508</v>
      </c>
      <c r="E23" s="55" t="s">
        <v>509</v>
      </c>
      <c r="F23" s="55" t="s">
        <v>53</v>
      </c>
      <c r="G23" s="56"/>
    </row>
    <row r="24">
      <c r="A24" s="53" t="str">
        <f t="shared" si="1"/>
        <v>US-8-TC-22</v>
      </c>
      <c r="B24" s="53" t="s">
        <v>526</v>
      </c>
      <c r="C24" s="54"/>
      <c r="D24" s="62"/>
      <c r="E24" s="55"/>
      <c r="F24" s="55" t="s">
        <v>53</v>
      </c>
      <c r="G24" s="56"/>
    </row>
    <row r="25">
      <c r="A25" s="53" t="str">
        <f t="shared" si="1"/>
        <v>US-8-TC-23</v>
      </c>
      <c r="B25" s="53" t="s">
        <v>527</v>
      </c>
      <c r="C25" s="54"/>
      <c r="D25" s="62"/>
      <c r="E25" s="55"/>
      <c r="F25" s="55" t="s">
        <v>53</v>
      </c>
      <c r="G25" s="56"/>
    </row>
    <row r="26">
      <c r="A26" s="53" t="str">
        <f t="shared" si="1"/>
        <v>US-8-TC-24</v>
      </c>
      <c r="B26" s="53" t="s">
        <v>528</v>
      </c>
      <c r="C26" s="54" t="s">
        <v>331</v>
      </c>
      <c r="D26" s="62" t="s">
        <v>508</v>
      </c>
      <c r="E26" s="55" t="s">
        <v>509</v>
      </c>
      <c r="F26" s="55" t="s">
        <v>53</v>
      </c>
      <c r="G26" s="56"/>
    </row>
    <row r="27">
      <c r="A27" s="53" t="str">
        <f t="shared" si="1"/>
        <v>US-8-TC-25</v>
      </c>
      <c r="B27" s="53" t="s">
        <v>529</v>
      </c>
      <c r="C27" s="54" t="s">
        <v>331</v>
      </c>
      <c r="D27" s="62" t="s">
        <v>508</v>
      </c>
      <c r="E27" s="55" t="s">
        <v>530</v>
      </c>
      <c r="F27" s="55" t="s">
        <v>53</v>
      </c>
      <c r="G27" s="56"/>
    </row>
    <row r="28">
      <c r="A28" s="53" t="str">
        <f t="shared" si="1"/>
        <v>US-8-TC-26</v>
      </c>
      <c r="B28" s="53" t="s">
        <v>531</v>
      </c>
      <c r="C28" s="54" t="s">
        <v>331</v>
      </c>
      <c r="D28" s="62" t="s">
        <v>508</v>
      </c>
      <c r="E28" s="55" t="s">
        <v>532</v>
      </c>
      <c r="F28" s="55" t="s">
        <v>53</v>
      </c>
      <c r="G28" s="56"/>
    </row>
    <row r="29">
      <c r="A29" s="53" t="str">
        <f t="shared" si="1"/>
        <v>US-8-TC-27</v>
      </c>
      <c r="B29" s="53" t="s">
        <v>533</v>
      </c>
      <c r="C29" s="54" t="s">
        <v>331</v>
      </c>
      <c r="D29" s="62" t="s">
        <v>508</v>
      </c>
      <c r="E29" s="55" t="s">
        <v>509</v>
      </c>
      <c r="F29" s="55" t="s">
        <v>53</v>
      </c>
      <c r="G29" s="56"/>
    </row>
    <row r="30">
      <c r="A30" s="53" t="str">
        <f t="shared" si="1"/>
        <v>US-8-TC-28</v>
      </c>
      <c r="B30" s="53" t="s">
        <v>534</v>
      </c>
      <c r="C30" s="54" t="s">
        <v>331</v>
      </c>
      <c r="D30" s="62"/>
      <c r="E30" s="55"/>
      <c r="F30" s="55" t="s">
        <v>53</v>
      </c>
      <c r="G30" s="56"/>
    </row>
    <row r="31">
      <c r="A31" s="53" t="str">
        <f t="shared" si="1"/>
        <v>US-8-TC-29</v>
      </c>
      <c r="B31" s="53" t="s">
        <v>535</v>
      </c>
      <c r="C31" s="54" t="s">
        <v>331</v>
      </c>
      <c r="D31" s="62"/>
      <c r="E31" s="55"/>
      <c r="F31" s="55" t="s">
        <v>53</v>
      </c>
      <c r="G31" s="56"/>
    </row>
    <row r="32">
      <c r="A32" s="53" t="str">
        <f t="shared" si="1"/>
        <v>US-8-TC-30</v>
      </c>
      <c r="B32" s="53" t="s">
        <v>536</v>
      </c>
      <c r="C32" s="54" t="s">
        <v>331</v>
      </c>
      <c r="D32" s="62" t="s">
        <v>508</v>
      </c>
      <c r="E32" s="55" t="s">
        <v>509</v>
      </c>
      <c r="F32" s="55" t="s">
        <v>53</v>
      </c>
      <c r="G32" s="56"/>
    </row>
    <row r="33">
      <c r="A33" s="53" t="str">
        <f t="shared" si="1"/>
        <v>US-8-TC-31</v>
      </c>
      <c r="B33" s="64" t="s">
        <v>537</v>
      </c>
      <c r="C33" s="54" t="s">
        <v>331</v>
      </c>
      <c r="D33" s="62" t="s">
        <v>508</v>
      </c>
      <c r="E33" s="55" t="s">
        <v>538</v>
      </c>
      <c r="F33" s="55" t="s">
        <v>53</v>
      </c>
      <c r="G33" s="56"/>
    </row>
    <row r="34">
      <c r="A34" s="53" t="str">
        <f t="shared" si="1"/>
        <v>US-8-TC-32</v>
      </c>
      <c r="B34" s="53" t="s">
        <v>539</v>
      </c>
      <c r="C34" s="54" t="s">
        <v>331</v>
      </c>
      <c r="D34" s="62" t="s">
        <v>508</v>
      </c>
      <c r="E34" s="55" t="s">
        <v>540</v>
      </c>
      <c r="F34" s="55" t="s">
        <v>53</v>
      </c>
      <c r="G34" s="56"/>
    </row>
    <row r="35">
      <c r="A35" s="53" t="str">
        <f t="shared" si="1"/>
        <v>US-8-TC-33</v>
      </c>
      <c r="B35" s="53" t="s">
        <v>541</v>
      </c>
      <c r="C35" s="54" t="s">
        <v>331</v>
      </c>
      <c r="D35" s="62" t="s">
        <v>508</v>
      </c>
      <c r="E35" s="55" t="s">
        <v>509</v>
      </c>
      <c r="F35" s="55" t="s">
        <v>53</v>
      </c>
      <c r="G35" s="56"/>
    </row>
    <row r="36">
      <c r="A36" s="53" t="str">
        <f t="shared" si="1"/>
        <v>US-8-TC-34</v>
      </c>
      <c r="B36" s="53" t="s">
        <v>542</v>
      </c>
      <c r="C36" s="54" t="s">
        <v>331</v>
      </c>
      <c r="D36" s="62"/>
      <c r="E36" s="55"/>
      <c r="F36" s="55" t="s">
        <v>53</v>
      </c>
      <c r="G36" s="56"/>
    </row>
    <row r="37">
      <c r="A37" s="53" t="str">
        <f t="shared" si="1"/>
        <v>US-8-TC-35</v>
      </c>
      <c r="B37" s="53" t="s">
        <v>543</v>
      </c>
      <c r="C37" s="54" t="s">
        <v>331</v>
      </c>
      <c r="D37" s="62"/>
      <c r="E37" s="55"/>
      <c r="F37" s="55" t="s">
        <v>53</v>
      </c>
      <c r="G37" s="56"/>
    </row>
    <row r="38">
      <c r="A38" s="53" t="str">
        <f t="shared" si="1"/>
        <v>US-8-TC-36</v>
      </c>
      <c r="B38" s="53" t="s">
        <v>544</v>
      </c>
      <c r="C38" s="54" t="s">
        <v>331</v>
      </c>
      <c r="D38" s="62" t="s">
        <v>508</v>
      </c>
      <c r="E38" s="55" t="s">
        <v>509</v>
      </c>
      <c r="F38" s="55" t="s">
        <v>53</v>
      </c>
      <c r="G38" s="56"/>
    </row>
    <row r="39">
      <c r="A39" s="53" t="str">
        <f t="shared" si="1"/>
        <v>US-8-TC-37</v>
      </c>
      <c r="B39" s="53" t="s">
        <v>545</v>
      </c>
      <c r="C39" s="54" t="s">
        <v>331</v>
      </c>
      <c r="D39" s="62" t="s">
        <v>508</v>
      </c>
      <c r="E39" s="55" t="s">
        <v>546</v>
      </c>
      <c r="F39" s="55" t="s">
        <v>53</v>
      </c>
      <c r="G39" s="56"/>
    </row>
    <row r="40">
      <c r="A40" s="53" t="str">
        <f t="shared" si="1"/>
        <v>US-8-TC-38</v>
      </c>
      <c r="B40" s="53" t="s">
        <v>547</v>
      </c>
      <c r="C40" s="54" t="s">
        <v>331</v>
      </c>
      <c r="D40" s="62" t="s">
        <v>508</v>
      </c>
      <c r="E40" s="55" t="s">
        <v>548</v>
      </c>
      <c r="F40" s="55" t="s">
        <v>53</v>
      </c>
      <c r="G40" s="56"/>
    </row>
    <row r="41">
      <c r="A41" s="53" t="str">
        <f t="shared" si="1"/>
        <v>US-8-TC-39</v>
      </c>
      <c r="B41" s="53" t="s">
        <v>549</v>
      </c>
      <c r="C41" s="54" t="s">
        <v>331</v>
      </c>
      <c r="D41" s="62" t="s">
        <v>508</v>
      </c>
      <c r="E41" s="55" t="s">
        <v>509</v>
      </c>
      <c r="F41" s="55" t="s">
        <v>53</v>
      </c>
      <c r="G41" s="56"/>
    </row>
    <row r="42">
      <c r="A42" s="53" t="str">
        <f t="shared" si="1"/>
        <v>US-8-TC-40</v>
      </c>
      <c r="B42" s="53" t="s">
        <v>550</v>
      </c>
      <c r="C42" s="54" t="s">
        <v>331</v>
      </c>
      <c r="D42" s="62" t="s">
        <v>508</v>
      </c>
      <c r="E42" s="55" t="s">
        <v>551</v>
      </c>
      <c r="F42" s="55" t="s">
        <v>53</v>
      </c>
      <c r="G42" s="56"/>
    </row>
    <row r="43">
      <c r="A43" s="53" t="str">
        <f t="shared" si="1"/>
        <v>US-8-TC-41</v>
      </c>
      <c r="B43" s="53" t="s">
        <v>552</v>
      </c>
      <c r="C43" s="54" t="s">
        <v>331</v>
      </c>
      <c r="D43" s="62" t="s">
        <v>508</v>
      </c>
      <c r="E43" s="55" t="s">
        <v>553</v>
      </c>
      <c r="F43" s="55" t="s">
        <v>53</v>
      </c>
      <c r="G43" s="56"/>
    </row>
    <row r="44">
      <c r="A44" s="53" t="str">
        <f t="shared" si="1"/>
        <v>US-8-TC-42</v>
      </c>
      <c r="B44" s="64" t="s">
        <v>554</v>
      </c>
      <c r="C44" s="54" t="s">
        <v>331</v>
      </c>
      <c r="D44" s="62" t="s">
        <v>508</v>
      </c>
      <c r="E44" s="55" t="s">
        <v>509</v>
      </c>
      <c r="F44" s="55" t="s">
        <v>53</v>
      </c>
      <c r="G44" s="56"/>
    </row>
    <row r="45">
      <c r="A45" s="53" t="str">
        <f t="shared" si="1"/>
        <v>US-8-TC-43</v>
      </c>
      <c r="B45" s="53" t="s">
        <v>555</v>
      </c>
      <c r="C45" s="54" t="s">
        <v>331</v>
      </c>
      <c r="D45" s="62" t="s">
        <v>508</v>
      </c>
      <c r="E45" s="55" t="s">
        <v>556</v>
      </c>
      <c r="F45" s="55" t="s">
        <v>53</v>
      </c>
      <c r="G45" s="56"/>
    </row>
    <row r="46">
      <c r="A46" s="53" t="str">
        <f t="shared" si="1"/>
        <v>US-8-TC-44</v>
      </c>
      <c r="B46" s="64" t="s">
        <v>557</v>
      </c>
      <c r="C46" s="54" t="s">
        <v>331</v>
      </c>
      <c r="D46" s="62" t="s">
        <v>508</v>
      </c>
      <c r="E46" s="55" t="s">
        <v>558</v>
      </c>
      <c r="F46" s="55" t="s">
        <v>53</v>
      </c>
      <c r="G46" s="56"/>
    </row>
    <row r="47">
      <c r="A47" s="53" t="str">
        <f t="shared" si="1"/>
        <v>US-8-TC-45</v>
      </c>
      <c r="B47" s="53" t="s">
        <v>559</v>
      </c>
      <c r="C47" s="54" t="s">
        <v>331</v>
      </c>
      <c r="D47" s="62" t="s">
        <v>508</v>
      </c>
      <c r="E47" s="55" t="s">
        <v>509</v>
      </c>
      <c r="F47" s="55" t="s">
        <v>53</v>
      </c>
      <c r="G47" s="56"/>
    </row>
    <row r="48">
      <c r="A48" s="53" t="str">
        <f t="shared" si="1"/>
        <v>US-8-TC-46</v>
      </c>
      <c r="B48" s="53" t="s">
        <v>560</v>
      </c>
      <c r="C48" s="54" t="s">
        <v>331</v>
      </c>
      <c r="D48" s="62" t="s">
        <v>508</v>
      </c>
      <c r="E48" s="55" t="s">
        <v>561</v>
      </c>
      <c r="F48" s="55" t="s">
        <v>53</v>
      </c>
      <c r="G48" s="56"/>
    </row>
    <row r="49">
      <c r="A49" s="53" t="str">
        <f t="shared" si="1"/>
        <v>US-8-TC-47</v>
      </c>
      <c r="B49" s="53" t="s">
        <v>562</v>
      </c>
      <c r="C49" s="54" t="s">
        <v>331</v>
      </c>
      <c r="D49" s="62" t="s">
        <v>508</v>
      </c>
      <c r="E49" s="55" t="s">
        <v>563</v>
      </c>
      <c r="F49" s="55" t="s">
        <v>53</v>
      </c>
      <c r="G49" s="56"/>
    </row>
    <row r="50">
      <c r="A50" s="53" t="str">
        <f t="shared" si="1"/>
        <v>US-8-TC-48</v>
      </c>
      <c r="B50" s="53" t="s">
        <v>564</v>
      </c>
      <c r="C50" s="54" t="s">
        <v>331</v>
      </c>
      <c r="D50" s="62" t="s">
        <v>508</v>
      </c>
      <c r="E50" s="55" t="s">
        <v>509</v>
      </c>
      <c r="F50" s="55" t="s">
        <v>53</v>
      </c>
      <c r="G50" s="56"/>
    </row>
    <row r="51">
      <c r="A51" s="53" t="str">
        <f t="shared" si="1"/>
        <v>US-8-TC-49</v>
      </c>
      <c r="B51" s="53" t="s">
        <v>565</v>
      </c>
      <c r="C51" s="54" t="s">
        <v>331</v>
      </c>
      <c r="D51" s="62" t="s">
        <v>508</v>
      </c>
      <c r="E51" s="55" t="s">
        <v>566</v>
      </c>
      <c r="F51" s="55" t="s">
        <v>53</v>
      </c>
      <c r="G51" s="56"/>
    </row>
    <row r="52">
      <c r="A52" s="53" t="str">
        <f t="shared" si="1"/>
        <v>US-8-TC-50</v>
      </c>
      <c r="B52" s="53" t="s">
        <v>567</v>
      </c>
      <c r="C52" s="54" t="s">
        <v>331</v>
      </c>
      <c r="D52" s="62" t="s">
        <v>508</v>
      </c>
      <c r="E52" s="55" t="s">
        <v>568</v>
      </c>
      <c r="F52" s="55" t="s">
        <v>53</v>
      </c>
      <c r="G52" s="56"/>
    </row>
    <row r="53">
      <c r="A53" s="53" t="str">
        <f t="shared" si="1"/>
        <v>US-8-TC-51</v>
      </c>
      <c r="B53" s="53" t="s">
        <v>589</v>
      </c>
      <c r="C53" s="54" t="s">
        <v>331</v>
      </c>
      <c r="D53" s="54" t="s">
        <v>451</v>
      </c>
      <c r="E53" s="55" t="s">
        <v>452</v>
      </c>
      <c r="F53" s="55" t="s">
        <v>53</v>
      </c>
      <c r="G53" s="56"/>
    </row>
    <row r="54">
      <c r="A54" s="53" t="str">
        <f t="shared" si="1"/>
        <v>US-8-TC-52</v>
      </c>
      <c r="B54" s="53" t="s">
        <v>590</v>
      </c>
      <c r="C54" s="54" t="s">
        <v>331</v>
      </c>
      <c r="D54" s="54" t="s">
        <v>451</v>
      </c>
      <c r="E54" s="55" t="s">
        <v>339</v>
      </c>
      <c r="F54" s="55" t="s">
        <v>53</v>
      </c>
      <c r="G54" s="56"/>
    </row>
    <row r="55">
      <c r="A55" s="53" t="str">
        <f t="shared" si="1"/>
        <v>US-8-TC-53</v>
      </c>
      <c r="B55" s="53" t="s">
        <v>591</v>
      </c>
      <c r="C55" s="54" t="s">
        <v>331</v>
      </c>
      <c r="D55" s="54" t="s">
        <v>451</v>
      </c>
      <c r="E55" s="55" t="s">
        <v>341</v>
      </c>
      <c r="F55" s="55" t="s">
        <v>53</v>
      </c>
      <c r="G55" s="56"/>
    </row>
    <row r="56">
      <c r="A56" s="53" t="str">
        <f t="shared" si="1"/>
        <v>US-8-TC-54</v>
      </c>
      <c r="B56" s="53" t="s">
        <v>592</v>
      </c>
      <c r="C56" s="54" t="s">
        <v>331</v>
      </c>
      <c r="D56" s="54" t="s">
        <v>451</v>
      </c>
      <c r="E56" s="55" t="s">
        <v>493</v>
      </c>
      <c r="F56" s="55" t="s">
        <v>53</v>
      </c>
      <c r="G56" s="56"/>
    </row>
    <row r="57">
      <c r="A57" s="53" t="str">
        <f t="shared" si="1"/>
        <v>US-8-TC-55</v>
      </c>
      <c r="B57" s="53" t="s">
        <v>593</v>
      </c>
      <c r="C57" s="54" t="s">
        <v>331</v>
      </c>
      <c r="D57" s="54" t="s">
        <v>451</v>
      </c>
      <c r="E57" s="55" t="s">
        <v>339</v>
      </c>
      <c r="F57" s="55" t="s">
        <v>53</v>
      </c>
      <c r="G57" s="56"/>
    </row>
    <row r="58">
      <c r="A58" s="53" t="str">
        <f t="shared" si="1"/>
        <v>US-8-TC-56</v>
      </c>
      <c r="B58" s="53" t="s">
        <v>594</v>
      </c>
      <c r="C58" s="54" t="s">
        <v>331</v>
      </c>
      <c r="D58" s="54" t="s">
        <v>451</v>
      </c>
      <c r="E58" s="55" t="s">
        <v>496</v>
      </c>
      <c r="F58" s="55" t="s">
        <v>53</v>
      </c>
      <c r="G58" s="56"/>
    </row>
    <row r="59">
      <c r="A59" s="53" t="str">
        <f t="shared" si="1"/>
        <v>US-8-TC-57</v>
      </c>
      <c r="B59" s="53" t="s">
        <v>595</v>
      </c>
      <c r="C59" s="54" t="s">
        <v>331</v>
      </c>
      <c r="D59" s="54" t="s">
        <v>451</v>
      </c>
      <c r="E59" s="55" t="s">
        <v>339</v>
      </c>
      <c r="F59" s="55" t="s">
        <v>53</v>
      </c>
      <c r="G59" s="56"/>
    </row>
    <row r="60">
      <c r="A60" s="53" t="str">
        <f t="shared" si="1"/>
        <v>US-8-TC-58</v>
      </c>
      <c r="B60" s="53" t="s">
        <v>596</v>
      </c>
      <c r="C60" s="54" t="s">
        <v>331</v>
      </c>
      <c r="D60" s="54" t="s">
        <v>451</v>
      </c>
      <c r="E60" s="55" t="s">
        <v>339</v>
      </c>
      <c r="F60" s="55" t="s">
        <v>53</v>
      </c>
      <c r="G60" s="56"/>
    </row>
    <row r="61">
      <c r="A61" s="53" t="str">
        <f t="shared" si="1"/>
        <v>US-8-TC-59</v>
      </c>
      <c r="B61" s="53" t="s">
        <v>413</v>
      </c>
      <c r="C61" s="54" t="s">
        <v>331</v>
      </c>
      <c r="D61" s="62" t="s">
        <v>508</v>
      </c>
      <c r="E61" s="55" t="s">
        <v>415</v>
      </c>
      <c r="F61" s="55" t="s">
        <v>53</v>
      </c>
      <c r="G61" s="55" t="s">
        <v>151</v>
      </c>
    </row>
    <row r="62">
      <c r="A62" s="53" t="str">
        <f t="shared" si="1"/>
        <v>US-8-TC-60</v>
      </c>
      <c r="B62" s="53" t="s">
        <v>416</v>
      </c>
      <c r="C62" s="54" t="s">
        <v>331</v>
      </c>
      <c r="D62" s="62" t="s">
        <v>508</v>
      </c>
      <c r="E62" s="55" t="s">
        <v>501</v>
      </c>
      <c r="F62" s="55" t="s">
        <v>51</v>
      </c>
      <c r="G62" s="55" t="s">
        <v>138</v>
      </c>
    </row>
    <row r="63">
      <c r="A63" s="53" t="str">
        <f t="shared" si="1"/>
        <v>US-8-TC-61</v>
      </c>
      <c r="B63" s="53" t="s">
        <v>419</v>
      </c>
      <c r="C63" s="54" t="s">
        <v>331</v>
      </c>
      <c r="D63" s="62" t="s">
        <v>508</v>
      </c>
      <c r="E63" s="55" t="s">
        <v>502</v>
      </c>
      <c r="F63" s="55" t="s">
        <v>51</v>
      </c>
      <c r="G63" s="55" t="s">
        <v>141</v>
      </c>
    </row>
    <row r="64">
      <c r="A64" s="53" t="str">
        <f t="shared" si="1"/>
        <v>US-8-TC-62</v>
      </c>
      <c r="B64" s="53" t="s">
        <v>422</v>
      </c>
      <c r="C64" s="54" t="s">
        <v>331</v>
      </c>
      <c r="D64" s="62" t="s">
        <v>508</v>
      </c>
      <c r="E64" s="55" t="s">
        <v>423</v>
      </c>
      <c r="F64" s="55" t="s">
        <v>110</v>
      </c>
      <c r="G64" s="95" t="s">
        <v>111</v>
      </c>
    </row>
    <row r="65">
      <c r="A65" s="53" t="str">
        <f t="shared" si="1"/>
        <v>US-8-TC-63</v>
      </c>
      <c r="B65" s="70" t="s">
        <v>597</v>
      </c>
      <c r="C65" s="54" t="s">
        <v>331</v>
      </c>
      <c r="D65" s="70" t="s">
        <v>431</v>
      </c>
      <c r="E65" s="70" t="s">
        <v>503</v>
      </c>
      <c r="F65" s="55" t="s">
        <v>50</v>
      </c>
    </row>
    <row r="66">
      <c r="A66" s="53" t="str">
        <f t="shared" si="1"/>
        <v>US-8-TC-64</v>
      </c>
      <c r="B66" s="70" t="s">
        <v>598</v>
      </c>
      <c r="C66" s="54" t="s">
        <v>331</v>
      </c>
      <c r="D66" s="70" t="s">
        <v>431</v>
      </c>
      <c r="E66" s="70" t="s">
        <v>436</v>
      </c>
      <c r="F66" s="55" t="s">
        <v>50</v>
      </c>
    </row>
    <row r="67">
      <c r="A67" s="53" t="str">
        <f t="shared" si="1"/>
        <v>US-8-TC-65</v>
      </c>
      <c r="B67" s="70" t="s">
        <v>599</v>
      </c>
      <c r="C67" s="54" t="s">
        <v>331</v>
      </c>
      <c r="D67" s="70" t="s">
        <v>431</v>
      </c>
      <c r="E67" s="70" t="s">
        <v>503</v>
      </c>
      <c r="F67" s="55" t="s">
        <v>50</v>
      </c>
    </row>
    <row r="68">
      <c r="A68" s="53" t="str">
        <f t="shared" si="1"/>
        <v>US-8-TC-66</v>
      </c>
      <c r="B68" s="70" t="s">
        <v>600</v>
      </c>
      <c r="C68" s="54" t="s">
        <v>331</v>
      </c>
      <c r="D68" s="70" t="s">
        <v>431</v>
      </c>
      <c r="E68" s="70" t="s">
        <v>436</v>
      </c>
      <c r="F68" s="55" t="s">
        <v>50</v>
      </c>
    </row>
    <row r="69">
      <c r="A69" s="53" t="str">
        <f t="shared" si="1"/>
        <v>US-8-TC-67</v>
      </c>
      <c r="B69" s="70" t="s">
        <v>601</v>
      </c>
      <c r="C69" s="54" t="s">
        <v>331</v>
      </c>
      <c r="D69" s="70" t="s">
        <v>431</v>
      </c>
      <c r="E69" s="70" t="s">
        <v>503</v>
      </c>
      <c r="F69" s="55" t="s">
        <v>50</v>
      </c>
    </row>
    <row r="70">
      <c r="A70" s="53" t="str">
        <f t="shared" si="1"/>
        <v>US-8-TC-68</v>
      </c>
      <c r="B70" s="70" t="s">
        <v>602</v>
      </c>
      <c r="C70" s="54" t="s">
        <v>331</v>
      </c>
      <c r="D70" s="70" t="s">
        <v>431</v>
      </c>
      <c r="E70" s="70" t="s">
        <v>436</v>
      </c>
      <c r="F70" s="55" t="s">
        <v>50</v>
      </c>
    </row>
    <row r="71">
      <c r="A71" s="53" t="str">
        <f t="shared" si="1"/>
        <v>US-8-TC-69</v>
      </c>
      <c r="B71" s="70" t="s">
        <v>603</v>
      </c>
      <c r="C71" s="54" t="s">
        <v>331</v>
      </c>
      <c r="D71" s="70" t="s">
        <v>431</v>
      </c>
      <c r="E71" s="70" t="s">
        <v>503</v>
      </c>
      <c r="F71" s="55" t="s">
        <v>50</v>
      </c>
    </row>
    <row r="72">
      <c r="A72" s="53" t="str">
        <f t="shared" si="1"/>
        <v>US-8-TC-70</v>
      </c>
      <c r="B72" s="70" t="s">
        <v>604</v>
      </c>
      <c r="C72" s="54" t="s">
        <v>331</v>
      </c>
      <c r="D72" s="70" t="s">
        <v>431</v>
      </c>
      <c r="E72" s="70" t="s">
        <v>436</v>
      </c>
      <c r="F72" s="55" t="s">
        <v>50</v>
      </c>
    </row>
    <row r="73">
      <c r="A73" s="53" t="str">
        <f t="shared" si="1"/>
        <v>US-8-TC-71</v>
      </c>
      <c r="B73" s="70" t="s">
        <v>605</v>
      </c>
      <c r="C73" s="54" t="s">
        <v>331</v>
      </c>
      <c r="D73" s="70" t="s">
        <v>431</v>
      </c>
      <c r="E73" s="70" t="s">
        <v>503</v>
      </c>
      <c r="F73" s="55" t="s">
        <v>50</v>
      </c>
    </row>
    <row r="74">
      <c r="A74" s="53" t="str">
        <f>IF(B73&lt;&gt;"", "US-8-TC-" &amp; TEXT(COUNTA($B$3:B74), "00"), "")
</f>
        <v>US-8-TC-72</v>
      </c>
      <c r="B74" s="70" t="s">
        <v>606</v>
      </c>
      <c r="C74" s="54" t="s">
        <v>331</v>
      </c>
      <c r="D74" s="70" t="s">
        <v>431</v>
      </c>
      <c r="E74" s="70" t="s">
        <v>436</v>
      </c>
      <c r="F74" s="55" t="s">
        <v>50</v>
      </c>
    </row>
    <row r="75">
      <c r="A75" s="53" t="str">
        <f t="shared" ref="A75:A80" si="2">IF(B73&lt;&gt;"", "US-8-TC-" &amp; TEXT(COUNTA($B$3:B75), "00"), "")
</f>
        <v>US-8-TC-73</v>
      </c>
      <c r="B75" s="70" t="s">
        <v>607</v>
      </c>
      <c r="C75" s="54" t="s">
        <v>331</v>
      </c>
      <c r="D75" s="70" t="s">
        <v>431</v>
      </c>
      <c r="E75" s="70" t="s">
        <v>503</v>
      </c>
      <c r="F75" s="55" t="s">
        <v>50</v>
      </c>
    </row>
    <row r="76">
      <c r="A76" s="53" t="str">
        <f t="shared" si="2"/>
        <v>US-8-TC-74</v>
      </c>
      <c r="B76" s="70" t="s">
        <v>608</v>
      </c>
      <c r="C76" s="54" t="s">
        <v>331</v>
      </c>
      <c r="D76" s="70" t="s">
        <v>431</v>
      </c>
      <c r="E76" s="70" t="s">
        <v>436</v>
      </c>
      <c r="F76" s="55" t="s">
        <v>50</v>
      </c>
    </row>
    <row r="77">
      <c r="A77" s="53" t="str">
        <f t="shared" si="2"/>
        <v>US-8-TC-75</v>
      </c>
      <c r="B77" s="70" t="s">
        <v>609</v>
      </c>
      <c r="C77" s="54" t="s">
        <v>331</v>
      </c>
      <c r="D77" s="70" t="s">
        <v>431</v>
      </c>
      <c r="E77" s="70" t="s">
        <v>503</v>
      </c>
      <c r="F77" s="55" t="s">
        <v>50</v>
      </c>
    </row>
    <row r="78">
      <c r="A78" s="53" t="str">
        <f t="shared" si="2"/>
        <v>US-8-TC-76</v>
      </c>
      <c r="B78" s="70" t="s">
        <v>610</v>
      </c>
      <c r="C78" s="54" t="s">
        <v>331</v>
      </c>
      <c r="D78" s="70" t="s">
        <v>431</v>
      </c>
      <c r="E78" s="70" t="s">
        <v>436</v>
      </c>
      <c r="F78" s="55" t="s">
        <v>50</v>
      </c>
    </row>
    <row r="79">
      <c r="A79" s="53" t="str">
        <f t="shared" si="2"/>
        <v>US-8-TC-77</v>
      </c>
      <c r="B79" s="70" t="s">
        <v>611</v>
      </c>
      <c r="C79" s="54" t="s">
        <v>331</v>
      </c>
      <c r="D79" s="70" t="s">
        <v>431</v>
      </c>
      <c r="E79" s="70" t="s">
        <v>503</v>
      </c>
      <c r="F79" s="55" t="s">
        <v>50</v>
      </c>
    </row>
    <row r="80">
      <c r="A80" s="53" t="str">
        <f t="shared" si="2"/>
        <v>US-8-TC-78</v>
      </c>
      <c r="B80" s="70" t="s">
        <v>612</v>
      </c>
      <c r="C80" s="54" t="s">
        <v>331</v>
      </c>
      <c r="D80" s="70" t="s">
        <v>431</v>
      </c>
      <c r="E80" s="70" t="s">
        <v>436</v>
      </c>
      <c r="F80" s="55" t="s">
        <v>50</v>
      </c>
    </row>
  </sheetData>
  <dataValidations>
    <dataValidation type="list" allowBlank="1" sqref="F3:F63">
      <formula1>"OPEN,BLOCKED,PASSED,FAILED"</formula1>
    </dataValidation>
    <dataValidation type="list" allowBlank="1" sqref="F64:F80">
      <formula1>"OPEN,BLOCKED,PASSED,FAILED,REQUEST"</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25"/>
    <col customWidth="1" min="2" max="2" width="61.13"/>
    <col customWidth="1" min="3" max="3" width="50.13"/>
    <col customWidth="1" min="4" max="4" width="48.38"/>
    <col customWidth="1" min="5" max="5" width="56.63"/>
    <col customWidth="1" min="6" max="6" width="21.63"/>
    <col customWidth="1" min="7" max="7" width="22.75"/>
  </cols>
  <sheetData>
    <row r="1">
      <c r="A1" s="47" t="s">
        <v>38</v>
      </c>
      <c r="B1" s="97" t="s">
        <v>613</v>
      </c>
      <c r="C1" s="49"/>
      <c r="D1" s="49"/>
      <c r="E1" s="49"/>
      <c r="F1" s="49"/>
      <c r="G1" s="49"/>
    </row>
    <row r="2">
      <c r="A2" s="51" t="s">
        <v>14</v>
      </c>
      <c r="B2" s="51" t="s">
        <v>16</v>
      </c>
      <c r="C2" s="52" t="s">
        <v>18</v>
      </c>
      <c r="D2" s="52" t="s">
        <v>20</v>
      </c>
      <c r="E2" s="52" t="s">
        <v>219</v>
      </c>
      <c r="F2" s="52" t="s">
        <v>24</v>
      </c>
      <c r="G2" s="52" t="s">
        <v>26</v>
      </c>
    </row>
    <row r="3">
      <c r="A3" s="99" t="str">
        <f t="shared" ref="A3:A44" si="1">IF(B1&lt;&gt;"", "US-9-TC-" &amp; TEXT(COUNTA($B$3:B3), "00"), "")
</f>
        <v>US-9-TC-01</v>
      </c>
      <c r="B3" s="99" t="s">
        <v>330</v>
      </c>
      <c r="C3" s="100" t="s">
        <v>331</v>
      </c>
      <c r="D3" s="100" t="s">
        <v>332</v>
      </c>
      <c r="E3" s="101" t="s">
        <v>333</v>
      </c>
      <c r="F3" s="101" t="s">
        <v>53</v>
      </c>
      <c r="G3" s="101"/>
    </row>
    <row r="4">
      <c r="A4" s="99" t="str">
        <f t="shared" si="1"/>
        <v>US-9-TC-02</v>
      </c>
      <c r="B4" s="99" t="s">
        <v>334</v>
      </c>
      <c r="C4" s="100" t="s">
        <v>331</v>
      </c>
      <c r="D4" s="100" t="s">
        <v>332</v>
      </c>
      <c r="E4" s="101" t="s">
        <v>333</v>
      </c>
      <c r="F4" s="101" t="s">
        <v>53</v>
      </c>
      <c r="G4" s="101"/>
    </row>
    <row r="5">
      <c r="A5" s="99" t="str">
        <f t="shared" si="1"/>
        <v>US-9-TC-03</v>
      </c>
      <c r="B5" s="99" t="s">
        <v>335</v>
      </c>
      <c r="C5" s="100" t="s">
        <v>331</v>
      </c>
      <c r="D5" s="100" t="s">
        <v>332</v>
      </c>
      <c r="E5" s="101" t="s">
        <v>333</v>
      </c>
      <c r="F5" s="101" t="s">
        <v>53</v>
      </c>
      <c r="G5" s="102"/>
    </row>
    <row r="6">
      <c r="A6" s="99" t="str">
        <f t="shared" si="1"/>
        <v>US-9-TC-04</v>
      </c>
      <c r="B6" s="99" t="s">
        <v>336</v>
      </c>
      <c r="C6" s="100" t="s">
        <v>331</v>
      </c>
      <c r="D6" s="100" t="s">
        <v>332</v>
      </c>
      <c r="E6" s="101" t="s">
        <v>337</v>
      </c>
      <c r="F6" s="101" t="s">
        <v>53</v>
      </c>
      <c r="G6" s="102"/>
    </row>
    <row r="7">
      <c r="A7" s="99" t="str">
        <f t="shared" si="1"/>
        <v>US-9-TC-05</v>
      </c>
      <c r="B7" s="99" t="s">
        <v>338</v>
      </c>
      <c r="C7" s="100" t="s">
        <v>331</v>
      </c>
      <c r="D7" s="100" t="s">
        <v>332</v>
      </c>
      <c r="E7" s="101" t="s">
        <v>339</v>
      </c>
      <c r="F7" s="101" t="s">
        <v>53</v>
      </c>
      <c r="G7" s="102"/>
    </row>
    <row r="8">
      <c r="A8" s="99" t="str">
        <f t="shared" si="1"/>
        <v>US-9-TC-06</v>
      </c>
      <c r="B8" s="99" t="s">
        <v>340</v>
      </c>
      <c r="C8" s="100" t="s">
        <v>331</v>
      </c>
      <c r="D8" s="100" t="s">
        <v>332</v>
      </c>
      <c r="E8" s="101" t="s">
        <v>341</v>
      </c>
      <c r="F8" s="101" t="s">
        <v>53</v>
      </c>
      <c r="G8" s="102"/>
    </row>
    <row r="9">
      <c r="A9" s="99" t="str">
        <f t="shared" si="1"/>
        <v>US-9-TC-07</v>
      </c>
      <c r="B9" s="99" t="s">
        <v>342</v>
      </c>
      <c r="C9" s="100" t="s">
        <v>331</v>
      </c>
      <c r="D9" s="100" t="s">
        <v>332</v>
      </c>
      <c r="E9" s="101" t="s">
        <v>343</v>
      </c>
      <c r="F9" s="101" t="s">
        <v>53</v>
      </c>
      <c r="G9" s="102"/>
    </row>
    <row r="10">
      <c r="A10" s="99" t="str">
        <f t="shared" si="1"/>
        <v>US-9-TC-08</v>
      </c>
      <c r="B10" s="103" t="s">
        <v>344</v>
      </c>
      <c r="C10" s="100" t="s">
        <v>331</v>
      </c>
      <c r="D10" s="100" t="s">
        <v>332</v>
      </c>
      <c r="E10" s="101" t="s">
        <v>345</v>
      </c>
      <c r="F10" s="101" t="s">
        <v>53</v>
      </c>
      <c r="G10" s="102"/>
    </row>
    <row r="11">
      <c r="A11" s="99" t="str">
        <f t="shared" si="1"/>
        <v>US-9-TC-09</v>
      </c>
      <c r="B11" s="99" t="s">
        <v>346</v>
      </c>
      <c r="C11" s="100" t="s">
        <v>331</v>
      </c>
      <c r="D11" s="100" t="s">
        <v>332</v>
      </c>
      <c r="E11" s="101" t="s">
        <v>347</v>
      </c>
      <c r="F11" s="101" t="s">
        <v>53</v>
      </c>
      <c r="G11" s="102"/>
    </row>
    <row r="12">
      <c r="A12" s="99" t="str">
        <f t="shared" si="1"/>
        <v>US-9-TC-10</v>
      </c>
      <c r="B12" s="99" t="s">
        <v>348</v>
      </c>
      <c r="C12" s="100" t="s">
        <v>331</v>
      </c>
      <c r="D12" s="100" t="s">
        <v>332</v>
      </c>
      <c r="E12" s="101" t="s">
        <v>349</v>
      </c>
      <c r="F12" s="101" t="s">
        <v>53</v>
      </c>
      <c r="G12" s="102"/>
    </row>
    <row r="13">
      <c r="A13" s="99" t="str">
        <f t="shared" si="1"/>
        <v>US-9-TC-11</v>
      </c>
      <c r="B13" s="99" t="s">
        <v>350</v>
      </c>
      <c r="C13" s="100" t="s">
        <v>331</v>
      </c>
      <c r="D13" s="100" t="s">
        <v>351</v>
      </c>
      <c r="E13" s="101" t="s">
        <v>352</v>
      </c>
      <c r="F13" s="101" t="s">
        <v>53</v>
      </c>
      <c r="G13" s="102"/>
    </row>
    <row r="14">
      <c r="A14" s="99" t="str">
        <f t="shared" si="1"/>
        <v>US-9-TC-12</v>
      </c>
      <c r="B14" s="99" t="s">
        <v>354</v>
      </c>
      <c r="C14" s="100" t="s">
        <v>331</v>
      </c>
      <c r="D14" s="100" t="s">
        <v>355</v>
      </c>
      <c r="E14" s="101" t="s">
        <v>356</v>
      </c>
      <c r="F14" s="101" t="s">
        <v>53</v>
      </c>
      <c r="G14" s="102"/>
    </row>
    <row r="15">
      <c r="A15" s="99" t="str">
        <f t="shared" si="1"/>
        <v>US-9-TC-13</v>
      </c>
      <c r="B15" s="99" t="s">
        <v>357</v>
      </c>
      <c r="C15" s="100" t="s">
        <v>331</v>
      </c>
      <c r="D15" s="100" t="s">
        <v>358</v>
      </c>
      <c r="E15" s="101" t="s">
        <v>359</v>
      </c>
      <c r="F15" s="101" t="s">
        <v>53</v>
      </c>
      <c r="G15" s="102"/>
    </row>
    <row r="16">
      <c r="A16" s="99" t="str">
        <f t="shared" si="1"/>
        <v>US-9-TC-14</v>
      </c>
      <c r="B16" s="99" t="s">
        <v>360</v>
      </c>
      <c r="C16" s="100" t="s">
        <v>331</v>
      </c>
      <c r="D16" s="100" t="s">
        <v>361</v>
      </c>
      <c r="E16" s="101" t="s">
        <v>362</v>
      </c>
      <c r="F16" s="101" t="s">
        <v>53</v>
      </c>
      <c r="G16" s="102"/>
    </row>
    <row r="17">
      <c r="A17" s="99" t="str">
        <f t="shared" si="1"/>
        <v>US-9-TC-15</v>
      </c>
      <c r="B17" s="99" t="s">
        <v>364</v>
      </c>
      <c r="C17" s="100" t="s">
        <v>331</v>
      </c>
      <c r="D17" s="100" t="s">
        <v>365</v>
      </c>
      <c r="E17" s="101" t="s">
        <v>366</v>
      </c>
      <c r="F17" s="101" t="s">
        <v>53</v>
      </c>
      <c r="G17" s="102"/>
    </row>
    <row r="18">
      <c r="A18" s="99" t="str">
        <f t="shared" si="1"/>
        <v>US-9-TC-16</v>
      </c>
      <c r="B18" s="99" t="s">
        <v>367</v>
      </c>
      <c r="C18" s="100" t="s">
        <v>331</v>
      </c>
      <c r="D18" s="100" t="s">
        <v>368</v>
      </c>
      <c r="E18" s="101" t="s">
        <v>369</v>
      </c>
      <c r="F18" s="101" t="s">
        <v>53</v>
      </c>
      <c r="G18" s="102"/>
    </row>
    <row r="19">
      <c r="A19" s="99" t="str">
        <f t="shared" si="1"/>
        <v>US-9-TC-17</v>
      </c>
      <c r="B19" s="99" t="s">
        <v>370</v>
      </c>
      <c r="C19" s="100" t="s">
        <v>331</v>
      </c>
      <c r="D19" s="100" t="s">
        <v>371</v>
      </c>
      <c r="E19" s="101" t="s">
        <v>372</v>
      </c>
      <c r="F19" s="101" t="s">
        <v>53</v>
      </c>
      <c r="G19" s="102"/>
    </row>
    <row r="20">
      <c r="A20" s="99" t="str">
        <f t="shared" si="1"/>
        <v>US-9-TC-18</v>
      </c>
      <c r="B20" s="103" t="s">
        <v>374</v>
      </c>
      <c r="C20" s="100" t="s">
        <v>331</v>
      </c>
      <c r="D20" s="100" t="s">
        <v>375</v>
      </c>
      <c r="E20" s="101" t="s">
        <v>376</v>
      </c>
      <c r="F20" s="101" t="s">
        <v>53</v>
      </c>
      <c r="G20" s="102"/>
    </row>
    <row r="21">
      <c r="A21" s="99" t="str">
        <f t="shared" si="1"/>
        <v>US-9-TC-19</v>
      </c>
      <c r="B21" s="99" t="s">
        <v>378</v>
      </c>
      <c r="C21" s="100" t="s">
        <v>331</v>
      </c>
      <c r="D21" s="100" t="s">
        <v>379</v>
      </c>
      <c r="E21" s="101" t="s">
        <v>380</v>
      </c>
      <c r="F21" s="101" t="s">
        <v>53</v>
      </c>
      <c r="G21" s="102"/>
    </row>
    <row r="22">
      <c r="A22" s="99" t="str">
        <f t="shared" si="1"/>
        <v>US-9-TC-20</v>
      </c>
      <c r="B22" s="99" t="s">
        <v>382</v>
      </c>
      <c r="C22" s="100" t="s">
        <v>331</v>
      </c>
      <c r="D22" s="100" t="s">
        <v>383</v>
      </c>
      <c r="E22" s="101" t="s">
        <v>384</v>
      </c>
      <c r="F22" s="101" t="s">
        <v>53</v>
      </c>
      <c r="G22" s="102"/>
    </row>
    <row r="23">
      <c r="A23" s="99" t="str">
        <f t="shared" si="1"/>
        <v>US-9-TC-21</v>
      </c>
      <c r="B23" s="99" t="s">
        <v>385</v>
      </c>
      <c r="C23" s="100" t="s">
        <v>331</v>
      </c>
      <c r="D23" s="100" t="s">
        <v>386</v>
      </c>
      <c r="E23" s="101" t="s">
        <v>387</v>
      </c>
      <c r="F23" s="101" t="s">
        <v>53</v>
      </c>
      <c r="G23" s="102"/>
    </row>
    <row r="24">
      <c r="A24" s="99" t="str">
        <f t="shared" si="1"/>
        <v>US-9-TC-22</v>
      </c>
      <c r="B24" s="104" t="s">
        <v>388</v>
      </c>
      <c r="C24" s="105" t="s">
        <v>331</v>
      </c>
      <c r="D24" s="105" t="s">
        <v>389</v>
      </c>
      <c r="E24" s="104" t="s">
        <v>390</v>
      </c>
      <c r="F24" s="101" t="s">
        <v>53</v>
      </c>
      <c r="G24" s="106"/>
    </row>
    <row r="25">
      <c r="A25" s="99" t="str">
        <f t="shared" si="1"/>
        <v>US-9-TC-23</v>
      </c>
      <c r="B25" s="107" t="s">
        <v>392</v>
      </c>
      <c r="C25" s="108" t="s">
        <v>331</v>
      </c>
      <c r="D25" s="108" t="s">
        <v>393</v>
      </c>
      <c r="E25" s="107" t="s">
        <v>394</v>
      </c>
      <c r="F25" s="101" t="s">
        <v>53</v>
      </c>
      <c r="G25" s="109"/>
    </row>
    <row r="26">
      <c r="A26" s="99" t="str">
        <f t="shared" si="1"/>
        <v>US-9-TC-24</v>
      </c>
      <c r="B26" s="110" t="s">
        <v>614</v>
      </c>
      <c r="C26" s="105" t="s">
        <v>331</v>
      </c>
      <c r="D26" s="105" t="s">
        <v>397</v>
      </c>
      <c r="E26" s="104" t="s">
        <v>398</v>
      </c>
      <c r="F26" s="101" t="s">
        <v>53</v>
      </c>
      <c r="G26" s="106"/>
    </row>
    <row r="27">
      <c r="A27" s="99" t="str">
        <f t="shared" si="1"/>
        <v>US-9-TC-25</v>
      </c>
      <c r="B27" s="107" t="s">
        <v>399</v>
      </c>
      <c r="C27" s="108" t="s">
        <v>331</v>
      </c>
      <c r="D27" s="108" t="s">
        <v>400</v>
      </c>
      <c r="E27" s="107" t="s">
        <v>401</v>
      </c>
      <c r="F27" s="101" t="s">
        <v>53</v>
      </c>
      <c r="G27" s="109"/>
    </row>
    <row r="28">
      <c r="A28" s="99" t="str">
        <f t="shared" si="1"/>
        <v>US-9-TC-26</v>
      </c>
      <c r="B28" s="104" t="s">
        <v>402</v>
      </c>
      <c r="C28" s="105" t="s">
        <v>331</v>
      </c>
      <c r="D28" s="105" t="s">
        <v>403</v>
      </c>
      <c r="E28" s="104" t="s">
        <v>404</v>
      </c>
      <c r="F28" s="101" t="s">
        <v>53</v>
      </c>
      <c r="G28" s="106"/>
    </row>
    <row r="29">
      <c r="A29" s="99" t="str">
        <f t="shared" si="1"/>
        <v>US-9-TC-27</v>
      </c>
      <c r="B29" s="110" t="s">
        <v>615</v>
      </c>
      <c r="C29" s="105" t="s">
        <v>331</v>
      </c>
      <c r="D29" s="105"/>
      <c r="E29" s="104"/>
      <c r="F29" s="101" t="s">
        <v>53</v>
      </c>
      <c r="G29" s="106"/>
    </row>
    <row r="30">
      <c r="A30" s="99" t="str">
        <f t="shared" si="1"/>
        <v>US-9-TC-28</v>
      </c>
      <c r="B30" s="107" t="s">
        <v>405</v>
      </c>
      <c r="C30" s="108" t="s">
        <v>331</v>
      </c>
      <c r="D30" s="107" t="s">
        <v>406</v>
      </c>
      <c r="E30" s="107" t="s">
        <v>407</v>
      </c>
      <c r="F30" s="101" t="s">
        <v>53</v>
      </c>
      <c r="G30" s="109"/>
    </row>
    <row r="31">
      <c r="A31" s="99" t="str">
        <f t="shared" si="1"/>
        <v>US-9-TC-29</v>
      </c>
      <c r="B31" s="104" t="s">
        <v>410</v>
      </c>
      <c r="C31" s="105" t="s">
        <v>331</v>
      </c>
      <c r="D31" s="107" t="s">
        <v>411</v>
      </c>
      <c r="E31" s="104" t="s">
        <v>412</v>
      </c>
      <c r="F31" s="101" t="s">
        <v>53</v>
      </c>
      <c r="G31" s="106"/>
    </row>
    <row r="32">
      <c r="A32" s="99" t="str">
        <f t="shared" si="1"/>
        <v>US-9-TC-30</v>
      </c>
      <c r="B32" s="99" t="s">
        <v>413</v>
      </c>
      <c r="C32" s="100" t="s">
        <v>331</v>
      </c>
      <c r="D32" s="111" t="s">
        <v>414</v>
      </c>
      <c r="E32" s="101" t="s">
        <v>415</v>
      </c>
      <c r="F32" s="101" t="s">
        <v>53</v>
      </c>
      <c r="G32" s="102"/>
    </row>
    <row r="33">
      <c r="A33" s="99" t="str">
        <f t="shared" si="1"/>
        <v>US-9-TC-31</v>
      </c>
      <c r="B33" s="99" t="s">
        <v>416</v>
      </c>
      <c r="C33" s="100" t="s">
        <v>331</v>
      </c>
      <c r="D33" s="111" t="s">
        <v>508</v>
      </c>
      <c r="E33" s="101" t="s">
        <v>501</v>
      </c>
      <c r="F33" s="55" t="s">
        <v>51</v>
      </c>
      <c r="G33" s="55" t="s">
        <v>106</v>
      </c>
    </row>
    <row r="34">
      <c r="A34" s="99" t="str">
        <f t="shared" si="1"/>
        <v>US-9-TC-32</v>
      </c>
      <c r="B34" s="99" t="s">
        <v>419</v>
      </c>
      <c r="C34" s="100" t="s">
        <v>331</v>
      </c>
      <c r="D34" s="111" t="s">
        <v>508</v>
      </c>
      <c r="E34" s="101" t="s">
        <v>502</v>
      </c>
      <c r="F34" s="55" t="s">
        <v>51</v>
      </c>
      <c r="G34" s="55" t="s">
        <v>108</v>
      </c>
    </row>
    <row r="35">
      <c r="A35" s="99" t="str">
        <f t="shared" si="1"/>
        <v>US-9-TC-33</v>
      </c>
      <c r="B35" s="99" t="s">
        <v>422</v>
      </c>
      <c r="C35" s="100" t="s">
        <v>331</v>
      </c>
      <c r="D35" s="111" t="s">
        <v>508</v>
      </c>
      <c r="E35" s="101" t="s">
        <v>423</v>
      </c>
      <c r="F35" s="55" t="s">
        <v>110</v>
      </c>
      <c r="G35" s="95" t="s">
        <v>111</v>
      </c>
    </row>
    <row r="36">
      <c r="A36" s="99" t="str">
        <f t="shared" si="1"/>
        <v>US-9-TC-34</v>
      </c>
      <c r="B36" s="70" t="s">
        <v>616</v>
      </c>
      <c r="C36" s="54" t="s">
        <v>331</v>
      </c>
      <c r="D36" s="70" t="s">
        <v>431</v>
      </c>
      <c r="E36" s="70" t="s">
        <v>503</v>
      </c>
      <c r="F36" s="55" t="s">
        <v>50</v>
      </c>
    </row>
    <row r="37">
      <c r="A37" s="99" t="str">
        <f t="shared" si="1"/>
        <v>US-9-TC-35</v>
      </c>
      <c r="B37" s="70" t="s">
        <v>617</v>
      </c>
      <c r="C37" s="54" t="s">
        <v>331</v>
      </c>
      <c r="D37" s="70" t="s">
        <v>431</v>
      </c>
      <c r="E37" s="70" t="s">
        <v>436</v>
      </c>
      <c r="F37" s="55" t="s">
        <v>50</v>
      </c>
    </row>
    <row r="38">
      <c r="A38" s="99" t="str">
        <f t="shared" si="1"/>
        <v>US-9-TC-36</v>
      </c>
      <c r="B38" s="70" t="s">
        <v>618</v>
      </c>
      <c r="C38" s="54" t="s">
        <v>331</v>
      </c>
      <c r="D38" s="70" t="s">
        <v>431</v>
      </c>
      <c r="E38" s="70" t="s">
        <v>503</v>
      </c>
      <c r="F38" s="55" t="s">
        <v>50</v>
      </c>
    </row>
    <row r="39">
      <c r="A39" s="99" t="str">
        <f t="shared" si="1"/>
        <v>US-9-TC-37</v>
      </c>
      <c r="B39" s="70" t="s">
        <v>619</v>
      </c>
      <c r="C39" s="54" t="s">
        <v>331</v>
      </c>
      <c r="D39" s="70" t="s">
        <v>431</v>
      </c>
      <c r="E39" s="70" t="s">
        <v>436</v>
      </c>
      <c r="F39" s="55" t="s">
        <v>50</v>
      </c>
    </row>
    <row r="40">
      <c r="A40" s="99" t="str">
        <f t="shared" si="1"/>
        <v>US-9-TC-38</v>
      </c>
      <c r="B40" s="70" t="s">
        <v>620</v>
      </c>
      <c r="C40" s="54" t="s">
        <v>331</v>
      </c>
      <c r="D40" s="70" t="s">
        <v>431</v>
      </c>
      <c r="E40" s="70" t="s">
        <v>503</v>
      </c>
      <c r="F40" s="55" t="s">
        <v>50</v>
      </c>
    </row>
    <row r="41">
      <c r="A41" s="99" t="str">
        <f t="shared" si="1"/>
        <v>US-9-TC-39</v>
      </c>
      <c r="B41" s="70" t="s">
        <v>621</v>
      </c>
      <c r="C41" s="54" t="s">
        <v>331</v>
      </c>
      <c r="D41" s="70" t="s">
        <v>431</v>
      </c>
      <c r="E41" s="70" t="s">
        <v>436</v>
      </c>
      <c r="F41" s="55" t="s">
        <v>50</v>
      </c>
    </row>
    <row r="42">
      <c r="A42" s="99" t="str">
        <f t="shared" si="1"/>
        <v>US-9-TC-40</v>
      </c>
      <c r="B42" s="70" t="s">
        <v>622</v>
      </c>
      <c r="C42" s="54" t="s">
        <v>331</v>
      </c>
      <c r="D42" s="70" t="s">
        <v>431</v>
      </c>
      <c r="E42" s="70" t="s">
        <v>503</v>
      </c>
      <c r="F42" s="55" t="s">
        <v>50</v>
      </c>
    </row>
    <row r="43">
      <c r="A43" s="99" t="str">
        <f t="shared" si="1"/>
        <v>US-9-TC-41</v>
      </c>
      <c r="B43" s="70" t="s">
        <v>623</v>
      </c>
      <c r="C43" s="54" t="s">
        <v>331</v>
      </c>
      <c r="D43" s="70" t="s">
        <v>431</v>
      </c>
      <c r="E43" s="70" t="s">
        <v>436</v>
      </c>
      <c r="F43" s="55" t="s">
        <v>50</v>
      </c>
    </row>
    <row r="44">
      <c r="A44" s="99" t="str">
        <f t="shared" si="1"/>
        <v>US-9-TC-42</v>
      </c>
      <c r="B44" s="70" t="s">
        <v>624</v>
      </c>
      <c r="C44" s="54" t="s">
        <v>331</v>
      </c>
      <c r="D44" s="70" t="s">
        <v>431</v>
      </c>
      <c r="E44" s="70" t="s">
        <v>503</v>
      </c>
      <c r="F44" s="55" t="s">
        <v>50</v>
      </c>
    </row>
    <row r="45">
      <c r="A45" s="99" t="str">
        <f t="shared" ref="A45:A46" si="2">IF(B44&lt;&gt;"", "US-9-TC-" &amp; TEXT(COUNTA($B$3:B45), "00"), "")
</f>
        <v>US-9-TC-43</v>
      </c>
      <c r="B45" s="70" t="s">
        <v>625</v>
      </c>
      <c r="C45" s="54" t="s">
        <v>331</v>
      </c>
      <c r="D45" s="70" t="s">
        <v>431</v>
      </c>
      <c r="E45" s="70" t="s">
        <v>436</v>
      </c>
      <c r="F45" s="55" t="s">
        <v>50</v>
      </c>
    </row>
    <row r="46">
      <c r="A46" s="99" t="str">
        <f t="shared" si="2"/>
        <v>US-9-TC-44</v>
      </c>
      <c r="B46" s="70" t="s">
        <v>626</v>
      </c>
      <c r="C46" s="54" t="s">
        <v>331</v>
      </c>
      <c r="D46" s="70" t="s">
        <v>431</v>
      </c>
      <c r="E46" s="70" t="s">
        <v>503</v>
      </c>
      <c r="F46" s="55" t="s">
        <v>50</v>
      </c>
    </row>
    <row r="47">
      <c r="A47" s="99" t="str">
        <f t="shared" ref="A47:A51" si="3">IF(B45&lt;&gt;"", "US-9-TC-" &amp; TEXT(COUNTA($B$3:B47), "00"), "")
</f>
        <v>US-9-TC-45</v>
      </c>
      <c r="B47" s="70" t="s">
        <v>627</v>
      </c>
      <c r="C47" s="54" t="s">
        <v>331</v>
      </c>
      <c r="D47" s="70" t="s">
        <v>431</v>
      </c>
      <c r="E47" s="70" t="s">
        <v>436</v>
      </c>
      <c r="F47" s="55" t="s">
        <v>50</v>
      </c>
    </row>
    <row r="48">
      <c r="A48" s="99" t="str">
        <f t="shared" si="3"/>
        <v>US-9-TC-46</v>
      </c>
      <c r="B48" s="70" t="s">
        <v>609</v>
      </c>
      <c r="C48" s="54" t="s">
        <v>331</v>
      </c>
      <c r="D48" s="70" t="s">
        <v>431</v>
      </c>
      <c r="E48" s="70" t="s">
        <v>503</v>
      </c>
      <c r="F48" s="55" t="s">
        <v>50</v>
      </c>
    </row>
    <row r="49">
      <c r="A49" s="99" t="str">
        <f t="shared" si="3"/>
        <v>US-9-TC-47</v>
      </c>
      <c r="B49" s="70" t="s">
        <v>610</v>
      </c>
      <c r="C49" s="54" t="s">
        <v>331</v>
      </c>
      <c r="D49" s="70" t="s">
        <v>431</v>
      </c>
      <c r="E49" s="70" t="s">
        <v>436</v>
      </c>
      <c r="F49" s="55" t="s">
        <v>50</v>
      </c>
    </row>
    <row r="50">
      <c r="A50" s="99" t="str">
        <f t="shared" si="3"/>
        <v>US-9-TC-48</v>
      </c>
      <c r="B50" s="70" t="s">
        <v>628</v>
      </c>
      <c r="C50" s="54" t="s">
        <v>331</v>
      </c>
      <c r="D50" s="70" t="s">
        <v>431</v>
      </c>
      <c r="E50" s="70" t="s">
        <v>503</v>
      </c>
      <c r="F50" s="55" t="s">
        <v>50</v>
      </c>
    </row>
    <row r="51">
      <c r="A51" s="99" t="str">
        <f t="shared" si="3"/>
        <v>US-9-TC-49</v>
      </c>
      <c r="B51" s="70" t="s">
        <v>629</v>
      </c>
      <c r="C51" s="54" t="s">
        <v>331</v>
      </c>
      <c r="D51" s="70" t="s">
        <v>431</v>
      </c>
      <c r="E51" s="70" t="s">
        <v>436</v>
      </c>
      <c r="F51" s="55" t="s">
        <v>50</v>
      </c>
    </row>
  </sheetData>
  <dataValidations>
    <dataValidation type="list" allowBlank="1" sqref="F3:F34">
      <formula1>"OPEN,BLOCKED,PASSED,FAILED"</formula1>
    </dataValidation>
    <dataValidation type="list" allowBlank="1" sqref="F35:F51">
      <formula1>"OPEN,BLOCKED,PASSED,FAILED,REQUEST"</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4.88"/>
    <col customWidth="1" min="2" max="2" width="61.13"/>
    <col customWidth="1" min="3" max="3" width="50.13"/>
    <col customWidth="1" min="4" max="4" width="48.38"/>
    <col customWidth="1" min="5" max="5" width="56.63"/>
    <col customWidth="1" min="6" max="6" width="21.63"/>
    <col customWidth="1" min="7" max="7" width="22.75"/>
  </cols>
  <sheetData>
    <row r="1">
      <c r="A1" s="47" t="s">
        <v>39</v>
      </c>
      <c r="B1" s="97" t="s">
        <v>630</v>
      </c>
      <c r="C1" s="49"/>
      <c r="D1" s="49"/>
      <c r="E1" s="49"/>
      <c r="F1" s="98"/>
      <c r="G1" s="49"/>
    </row>
    <row r="2">
      <c r="A2" s="51" t="s">
        <v>14</v>
      </c>
      <c r="B2" s="51" t="s">
        <v>16</v>
      </c>
      <c r="C2" s="52" t="s">
        <v>18</v>
      </c>
      <c r="D2" s="52" t="s">
        <v>20</v>
      </c>
      <c r="E2" s="52" t="s">
        <v>219</v>
      </c>
      <c r="F2" s="52" t="s">
        <v>24</v>
      </c>
      <c r="G2" s="52" t="s">
        <v>26</v>
      </c>
    </row>
    <row r="3">
      <c r="A3" s="53" t="str">
        <f t="shared" ref="A3:A49" si="1">IF(B1&lt;&gt;"", "US-10-TC-" &amp; TEXT(COUNTA($B$3:B3), "00"), "")
</f>
        <v>US-10-TC-01</v>
      </c>
      <c r="B3" s="53" t="s">
        <v>631</v>
      </c>
      <c r="C3" s="54" t="s">
        <v>331</v>
      </c>
      <c r="D3" s="54" t="s">
        <v>451</v>
      </c>
      <c r="E3" s="55" t="s">
        <v>452</v>
      </c>
      <c r="F3" s="55" t="s">
        <v>53</v>
      </c>
      <c r="G3" s="55"/>
    </row>
    <row r="4">
      <c r="A4" s="53" t="str">
        <f t="shared" si="1"/>
        <v>US-10-TC-02</v>
      </c>
      <c r="B4" s="53" t="s">
        <v>453</v>
      </c>
      <c r="C4" s="54" t="s">
        <v>331</v>
      </c>
      <c r="D4" s="54" t="s">
        <v>451</v>
      </c>
      <c r="E4" s="55" t="s">
        <v>452</v>
      </c>
      <c r="F4" s="55" t="s">
        <v>53</v>
      </c>
      <c r="G4" s="55"/>
    </row>
    <row r="5">
      <c r="A5" s="53" t="str">
        <f t="shared" si="1"/>
        <v>US-10-TC-03</v>
      </c>
      <c r="B5" s="53" t="s">
        <v>454</v>
      </c>
      <c r="C5" s="54" t="s">
        <v>331</v>
      </c>
      <c r="D5" s="54" t="s">
        <v>451</v>
      </c>
      <c r="E5" s="55" t="s">
        <v>452</v>
      </c>
      <c r="F5" s="55" t="s">
        <v>53</v>
      </c>
      <c r="G5" s="55"/>
    </row>
    <row r="6">
      <c r="A6" s="53" t="str">
        <f t="shared" si="1"/>
        <v>US-10-TC-04</v>
      </c>
      <c r="B6" s="74" t="s">
        <v>632</v>
      </c>
      <c r="C6" s="75" t="s">
        <v>331</v>
      </c>
      <c r="D6" s="75" t="s">
        <v>456</v>
      </c>
      <c r="E6" s="76" t="s">
        <v>457</v>
      </c>
      <c r="F6" s="55" t="s">
        <v>53</v>
      </c>
      <c r="G6" s="112"/>
    </row>
    <row r="7">
      <c r="A7" s="53" t="str">
        <f t="shared" si="1"/>
        <v>US-10-TC-05</v>
      </c>
      <c r="B7" s="71" t="s">
        <v>342</v>
      </c>
      <c r="C7" s="72" t="s">
        <v>331</v>
      </c>
      <c r="D7" s="72" t="s">
        <v>458</v>
      </c>
      <c r="E7" s="71" t="s">
        <v>343</v>
      </c>
      <c r="F7" s="55" t="s">
        <v>53</v>
      </c>
      <c r="G7" s="113"/>
    </row>
    <row r="8">
      <c r="A8" s="53" t="str">
        <f t="shared" si="1"/>
        <v>US-10-TC-06</v>
      </c>
      <c r="B8" s="76" t="s">
        <v>344</v>
      </c>
      <c r="C8" s="75" t="s">
        <v>331</v>
      </c>
      <c r="D8" s="75" t="s">
        <v>459</v>
      </c>
      <c r="E8" s="76" t="s">
        <v>345</v>
      </c>
      <c r="F8" s="55" t="s">
        <v>53</v>
      </c>
      <c r="G8" s="112"/>
    </row>
    <row r="9">
      <c r="A9" s="53" t="str">
        <f t="shared" si="1"/>
        <v>US-10-TC-07</v>
      </c>
      <c r="B9" s="71" t="s">
        <v>346</v>
      </c>
      <c r="C9" s="72" t="s">
        <v>331</v>
      </c>
      <c r="D9" s="72" t="s">
        <v>460</v>
      </c>
      <c r="E9" s="71" t="s">
        <v>347</v>
      </c>
      <c r="F9" s="55" t="s">
        <v>53</v>
      </c>
      <c r="G9" s="113"/>
    </row>
    <row r="10">
      <c r="A10" s="53" t="str">
        <f t="shared" si="1"/>
        <v>US-10-TC-08</v>
      </c>
      <c r="B10" s="76" t="s">
        <v>461</v>
      </c>
      <c r="C10" s="75" t="s">
        <v>462</v>
      </c>
      <c r="D10" s="75" t="s">
        <v>456</v>
      </c>
      <c r="E10" s="76" t="s">
        <v>463</v>
      </c>
      <c r="F10" s="55" t="s">
        <v>53</v>
      </c>
      <c r="G10" s="112"/>
    </row>
    <row r="11">
      <c r="A11" s="53" t="str">
        <f t="shared" si="1"/>
        <v>US-10-TC-09</v>
      </c>
      <c r="B11" s="76" t="s">
        <v>467</v>
      </c>
      <c r="C11" s="75" t="s">
        <v>331</v>
      </c>
      <c r="D11" s="75" t="s">
        <v>468</v>
      </c>
      <c r="E11" s="76" t="s">
        <v>469</v>
      </c>
      <c r="F11" s="55" t="s">
        <v>53</v>
      </c>
      <c r="G11" s="112"/>
    </row>
    <row r="12">
      <c r="A12" s="53" t="str">
        <f t="shared" si="1"/>
        <v>US-10-TC-10</v>
      </c>
      <c r="B12" s="71" t="s">
        <v>348</v>
      </c>
      <c r="C12" s="72" t="s">
        <v>331</v>
      </c>
      <c r="D12" s="72" t="s">
        <v>470</v>
      </c>
      <c r="E12" s="71" t="s">
        <v>349</v>
      </c>
      <c r="F12" s="55" t="s">
        <v>53</v>
      </c>
      <c r="G12" s="113"/>
    </row>
    <row r="13">
      <c r="A13" s="53" t="str">
        <f t="shared" si="1"/>
        <v>US-10-TC-11</v>
      </c>
      <c r="B13" s="76" t="s">
        <v>471</v>
      </c>
      <c r="C13" s="75" t="s">
        <v>331</v>
      </c>
      <c r="D13" s="75" t="s">
        <v>351</v>
      </c>
      <c r="E13" s="76" t="s">
        <v>352</v>
      </c>
      <c r="F13" s="55" t="s">
        <v>53</v>
      </c>
      <c r="G13" s="112"/>
    </row>
    <row r="14">
      <c r="A14" s="53" t="str">
        <f t="shared" si="1"/>
        <v>US-10-TC-12</v>
      </c>
      <c r="B14" s="71" t="s">
        <v>472</v>
      </c>
      <c r="C14" s="72" t="s">
        <v>331</v>
      </c>
      <c r="D14" s="72" t="s">
        <v>355</v>
      </c>
      <c r="E14" s="71" t="s">
        <v>356</v>
      </c>
      <c r="F14" s="55" t="s">
        <v>53</v>
      </c>
      <c r="G14" s="113"/>
    </row>
    <row r="15">
      <c r="A15" s="53" t="str">
        <f t="shared" si="1"/>
        <v>US-10-TC-13</v>
      </c>
      <c r="B15" s="76" t="s">
        <v>473</v>
      </c>
      <c r="C15" s="75" t="s">
        <v>331</v>
      </c>
      <c r="D15" s="75" t="s">
        <v>358</v>
      </c>
      <c r="E15" s="76" t="s">
        <v>359</v>
      </c>
      <c r="F15" s="55" t="s">
        <v>53</v>
      </c>
      <c r="G15" s="112"/>
    </row>
    <row r="16">
      <c r="A16" s="53" t="str">
        <f t="shared" si="1"/>
        <v>US-10-TC-14</v>
      </c>
      <c r="B16" s="71" t="s">
        <v>474</v>
      </c>
      <c r="C16" s="72" t="s">
        <v>331</v>
      </c>
      <c r="D16" s="72" t="s">
        <v>361</v>
      </c>
      <c r="E16" s="71" t="s">
        <v>362</v>
      </c>
      <c r="F16" s="55" t="s">
        <v>53</v>
      </c>
      <c r="G16" s="113"/>
    </row>
    <row r="17">
      <c r="A17" s="53" t="str">
        <f t="shared" si="1"/>
        <v>US-10-TC-15</v>
      </c>
      <c r="B17" s="76" t="s">
        <v>475</v>
      </c>
      <c r="C17" s="75" t="s">
        <v>331</v>
      </c>
      <c r="D17" s="75" t="s">
        <v>365</v>
      </c>
      <c r="E17" s="76" t="s">
        <v>366</v>
      </c>
      <c r="F17" s="55" t="s">
        <v>53</v>
      </c>
      <c r="G17" s="112"/>
    </row>
    <row r="18">
      <c r="A18" s="53" t="str">
        <f t="shared" si="1"/>
        <v>US-10-TC-16</v>
      </c>
      <c r="B18" s="71" t="s">
        <v>476</v>
      </c>
      <c r="C18" s="72" t="s">
        <v>331</v>
      </c>
      <c r="D18" s="72" t="s">
        <v>368</v>
      </c>
      <c r="E18" s="71" t="s">
        <v>369</v>
      </c>
      <c r="F18" s="55" t="s">
        <v>53</v>
      </c>
      <c r="G18" s="113"/>
    </row>
    <row r="19">
      <c r="A19" s="53" t="str">
        <f t="shared" si="1"/>
        <v>US-10-TC-17</v>
      </c>
      <c r="B19" s="76" t="s">
        <v>477</v>
      </c>
      <c r="C19" s="75" t="s">
        <v>331</v>
      </c>
      <c r="D19" s="75" t="s">
        <v>371</v>
      </c>
      <c r="E19" s="76" t="s">
        <v>372</v>
      </c>
      <c r="F19" s="55" t="s">
        <v>53</v>
      </c>
      <c r="G19" s="112"/>
    </row>
    <row r="20">
      <c r="A20" s="53" t="str">
        <f t="shared" si="1"/>
        <v>US-10-TC-18</v>
      </c>
      <c r="B20" s="71" t="s">
        <v>478</v>
      </c>
      <c r="C20" s="72" t="s">
        <v>331</v>
      </c>
      <c r="D20" s="72" t="s">
        <v>375</v>
      </c>
      <c r="E20" s="71" t="s">
        <v>376</v>
      </c>
      <c r="F20" s="55" t="s">
        <v>53</v>
      </c>
      <c r="G20" s="113"/>
    </row>
    <row r="21">
      <c r="A21" s="53" t="str">
        <f t="shared" si="1"/>
        <v>US-10-TC-19</v>
      </c>
      <c r="B21" s="76" t="s">
        <v>480</v>
      </c>
      <c r="C21" s="75" t="s">
        <v>331</v>
      </c>
      <c r="D21" s="75" t="s">
        <v>379</v>
      </c>
      <c r="E21" s="76" t="s">
        <v>380</v>
      </c>
      <c r="F21" s="55" t="s">
        <v>53</v>
      </c>
      <c r="G21" s="112"/>
    </row>
    <row r="22">
      <c r="A22" s="53" t="str">
        <f t="shared" si="1"/>
        <v>US-10-TC-20</v>
      </c>
      <c r="B22" s="71" t="s">
        <v>481</v>
      </c>
      <c r="C22" s="72" t="s">
        <v>331</v>
      </c>
      <c r="D22" s="72" t="s">
        <v>383</v>
      </c>
      <c r="E22" s="71" t="s">
        <v>384</v>
      </c>
      <c r="F22" s="55" t="s">
        <v>53</v>
      </c>
      <c r="G22" s="113"/>
    </row>
    <row r="23">
      <c r="A23" s="53" t="str">
        <f t="shared" si="1"/>
        <v>US-10-TC-21</v>
      </c>
      <c r="B23" s="76" t="s">
        <v>482</v>
      </c>
      <c r="C23" s="75" t="s">
        <v>331</v>
      </c>
      <c r="D23" s="75" t="s">
        <v>386</v>
      </c>
      <c r="E23" s="76" t="s">
        <v>387</v>
      </c>
      <c r="F23" s="55" t="s">
        <v>53</v>
      </c>
      <c r="G23" s="112"/>
    </row>
    <row r="24">
      <c r="A24" s="53" t="str">
        <f t="shared" si="1"/>
        <v>US-10-TC-22</v>
      </c>
      <c r="B24" s="71" t="s">
        <v>388</v>
      </c>
      <c r="C24" s="72" t="s">
        <v>331</v>
      </c>
      <c r="D24" s="72" t="s">
        <v>389</v>
      </c>
      <c r="E24" s="71" t="s">
        <v>390</v>
      </c>
      <c r="F24" s="55" t="s">
        <v>53</v>
      </c>
      <c r="G24" s="113"/>
    </row>
    <row r="25">
      <c r="A25" s="53" t="str">
        <f t="shared" si="1"/>
        <v>US-10-TC-23</v>
      </c>
      <c r="B25" s="78" t="s">
        <v>483</v>
      </c>
      <c r="C25" s="72"/>
      <c r="D25" s="72"/>
      <c r="E25" s="71"/>
      <c r="F25" s="55" t="s">
        <v>53</v>
      </c>
      <c r="G25" s="113"/>
    </row>
    <row r="26">
      <c r="A26" s="53" t="str">
        <f t="shared" si="1"/>
        <v>US-10-TC-24</v>
      </c>
      <c r="B26" s="76" t="s">
        <v>392</v>
      </c>
      <c r="C26" s="75" t="s">
        <v>331</v>
      </c>
      <c r="D26" s="75" t="s">
        <v>393</v>
      </c>
      <c r="E26" s="76" t="s">
        <v>394</v>
      </c>
      <c r="F26" s="55" t="s">
        <v>53</v>
      </c>
      <c r="G26" s="112"/>
    </row>
    <row r="27">
      <c r="A27" s="53" t="str">
        <f t="shared" si="1"/>
        <v>US-10-TC-25</v>
      </c>
      <c r="B27" s="71" t="s">
        <v>633</v>
      </c>
      <c r="C27" s="72" t="s">
        <v>331</v>
      </c>
      <c r="D27" s="72" t="s">
        <v>397</v>
      </c>
      <c r="E27" s="71" t="s">
        <v>398</v>
      </c>
      <c r="F27" s="55" t="s">
        <v>53</v>
      </c>
      <c r="G27" s="113"/>
    </row>
    <row r="28">
      <c r="A28" s="53" t="str">
        <f t="shared" si="1"/>
        <v>US-10-TC-26</v>
      </c>
      <c r="B28" s="76" t="s">
        <v>399</v>
      </c>
      <c r="C28" s="75" t="s">
        <v>331</v>
      </c>
      <c r="D28" s="75" t="s">
        <v>400</v>
      </c>
      <c r="E28" s="76" t="s">
        <v>401</v>
      </c>
      <c r="F28" s="55" t="s">
        <v>53</v>
      </c>
      <c r="G28" s="112"/>
    </row>
    <row r="29">
      <c r="A29" s="53" t="str">
        <f t="shared" si="1"/>
        <v>US-10-TC-27</v>
      </c>
      <c r="B29" s="78" t="s">
        <v>484</v>
      </c>
      <c r="C29" s="72" t="s">
        <v>331</v>
      </c>
      <c r="D29" s="72" t="s">
        <v>403</v>
      </c>
      <c r="E29" s="71" t="s">
        <v>404</v>
      </c>
      <c r="F29" s="55" t="s">
        <v>53</v>
      </c>
      <c r="G29" s="113"/>
    </row>
    <row r="30">
      <c r="A30" s="53" t="str">
        <f t="shared" si="1"/>
        <v>US-10-TC-28</v>
      </c>
      <c r="B30" s="78" t="s">
        <v>485</v>
      </c>
      <c r="C30" s="72"/>
      <c r="D30" s="72"/>
      <c r="E30" s="71"/>
      <c r="F30" s="55" t="s">
        <v>53</v>
      </c>
      <c r="G30" s="113"/>
    </row>
    <row r="31">
      <c r="A31" s="53" t="str">
        <f t="shared" si="1"/>
        <v>US-10-TC-29</v>
      </c>
      <c r="B31" s="76" t="s">
        <v>405</v>
      </c>
      <c r="C31" s="75" t="s">
        <v>331</v>
      </c>
      <c r="D31" s="76" t="s">
        <v>406</v>
      </c>
      <c r="E31" s="76" t="s">
        <v>407</v>
      </c>
      <c r="F31" s="55" t="s">
        <v>53</v>
      </c>
      <c r="G31" s="112"/>
    </row>
    <row r="32">
      <c r="A32" s="53" t="str">
        <f t="shared" si="1"/>
        <v>US-10-TC-30</v>
      </c>
      <c r="B32" s="71" t="s">
        <v>410</v>
      </c>
      <c r="C32" s="72" t="s">
        <v>331</v>
      </c>
      <c r="D32" s="76" t="s">
        <v>411</v>
      </c>
      <c r="E32" s="71" t="s">
        <v>412</v>
      </c>
      <c r="F32" s="55" t="s">
        <v>53</v>
      </c>
      <c r="G32" s="113"/>
    </row>
    <row r="33">
      <c r="A33" s="53" t="str">
        <f t="shared" si="1"/>
        <v>US-10-TC-31</v>
      </c>
      <c r="B33" s="76" t="s">
        <v>486</v>
      </c>
      <c r="C33" s="75" t="s">
        <v>331</v>
      </c>
      <c r="D33" s="76" t="s">
        <v>487</v>
      </c>
      <c r="E33" s="76" t="s">
        <v>488</v>
      </c>
      <c r="F33" s="55" t="s">
        <v>53</v>
      </c>
      <c r="G33" s="112"/>
    </row>
    <row r="34">
      <c r="A34" s="53" t="str">
        <f t="shared" si="1"/>
        <v>US-10-TC-32</v>
      </c>
      <c r="B34" s="53" t="s">
        <v>489</v>
      </c>
      <c r="C34" s="54" t="s">
        <v>331</v>
      </c>
      <c r="D34" s="54" t="s">
        <v>451</v>
      </c>
      <c r="E34" s="55" t="s">
        <v>452</v>
      </c>
      <c r="F34" s="55" t="s">
        <v>53</v>
      </c>
      <c r="G34" s="56"/>
    </row>
    <row r="35">
      <c r="A35" s="53" t="str">
        <f t="shared" si="1"/>
        <v>US-10-TC-33</v>
      </c>
      <c r="B35" s="53" t="s">
        <v>588</v>
      </c>
      <c r="C35" s="54" t="s">
        <v>331</v>
      </c>
      <c r="D35" s="54" t="s">
        <v>451</v>
      </c>
      <c r="E35" s="55" t="s">
        <v>337</v>
      </c>
      <c r="F35" s="55" t="s">
        <v>53</v>
      </c>
      <c r="G35" s="56"/>
    </row>
    <row r="36">
      <c r="A36" s="53" t="str">
        <f t="shared" si="1"/>
        <v>US-10-TC-34</v>
      </c>
      <c r="B36" s="53" t="s">
        <v>490</v>
      </c>
      <c r="C36" s="54" t="s">
        <v>331</v>
      </c>
      <c r="D36" s="54" t="s">
        <v>451</v>
      </c>
      <c r="E36" s="55" t="s">
        <v>339</v>
      </c>
      <c r="F36" s="55" t="s">
        <v>53</v>
      </c>
      <c r="G36" s="56"/>
    </row>
    <row r="37">
      <c r="A37" s="53" t="str">
        <f t="shared" si="1"/>
        <v>US-10-TC-35</v>
      </c>
      <c r="B37" s="53" t="s">
        <v>491</v>
      </c>
      <c r="C37" s="54" t="s">
        <v>331</v>
      </c>
      <c r="D37" s="54" t="s">
        <v>451</v>
      </c>
      <c r="E37" s="55" t="s">
        <v>341</v>
      </c>
      <c r="F37" s="55" t="s">
        <v>53</v>
      </c>
      <c r="G37" s="56"/>
    </row>
    <row r="38">
      <c r="A38" s="53" t="str">
        <f t="shared" si="1"/>
        <v>US-10-TC-36</v>
      </c>
      <c r="B38" s="53" t="s">
        <v>492</v>
      </c>
      <c r="C38" s="54" t="s">
        <v>331</v>
      </c>
      <c r="D38" s="54" t="s">
        <v>451</v>
      </c>
      <c r="E38" s="55" t="s">
        <v>493</v>
      </c>
      <c r="F38" s="55" t="s">
        <v>53</v>
      </c>
      <c r="G38" s="56"/>
    </row>
    <row r="39">
      <c r="A39" s="53" t="str">
        <f t="shared" si="1"/>
        <v>US-10-TC-37</v>
      </c>
      <c r="B39" s="53" t="s">
        <v>494</v>
      </c>
      <c r="C39" s="54" t="s">
        <v>331</v>
      </c>
      <c r="D39" s="54" t="s">
        <v>451</v>
      </c>
      <c r="E39" s="55" t="s">
        <v>339</v>
      </c>
      <c r="F39" s="55" t="s">
        <v>53</v>
      </c>
      <c r="G39" s="56"/>
    </row>
    <row r="40">
      <c r="A40" s="53" t="str">
        <f t="shared" si="1"/>
        <v>US-10-TC-38</v>
      </c>
      <c r="B40" s="53" t="s">
        <v>495</v>
      </c>
      <c r="C40" s="54" t="s">
        <v>331</v>
      </c>
      <c r="D40" s="54" t="s">
        <v>451</v>
      </c>
      <c r="E40" s="55" t="s">
        <v>496</v>
      </c>
      <c r="F40" s="55" t="s">
        <v>53</v>
      </c>
      <c r="G40" s="56"/>
    </row>
    <row r="41">
      <c r="A41" s="53" t="str">
        <f t="shared" si="1"/>
        <v>US-10-TC-39</v>
      </c>
      <c r="B41" s="53" t="s">
        <v>497</v>
      </c>
      <c r="C41" s="54" t="s">
        <v>331</v>
      </c>
      <c r="D41" s="54" t="s">
        <v>451</v>
      </c>
      <c r="E41" s="55" t="s">
        <v>339</v>
      </c>
      <c r="F41" s="55" t="s">
        <v>53</v>
      </c>
      <c r="G41" s="56"/>
    </row>
    <row r="42">
      <c r="A42" s="53" t="str">
        <f t="shared" si="1"/>
        <v>US-10-TC-40</v>
      </c>
      <c r="B42" s="53" t="s">
        <v>498</v>
      </c>
      <c r="C42" s="54" t="s">
        <v>331</v>
      </c>
      <c r="D42" s="54" t="s">
        <v>451</v>
      </c>
      <c r="E42" s="55" t="s">
        <v>339</v>
      </c>
      <c r="F42" s="55" t="s">
        <v>53</v>
      </c>
      <c r="G42" s="56"/>
    </row>
    <row r="43">
      <c r="A43" s="53" t="str">
        <f t="shared" si="1"/>
        <v>US-10-TC-41</v>
      </c>
      <c r="B43" s="53" t="s">
        <v>499</v>
      </c>
      <c r="C43" s="54" t="s">
        <v>331</v>
      </c>
      <c r="D43" s="54" t="s">
        <v>451</v>
      </c>
      <c r="E43" s="55" t="s">
        <v>500</v>
      </c>
      <c r="F43" s="55" t="s">
        <v>53</v>
      </c>
      <c r="G43" s="56"/>
    </row>
    <row r="44">
      <c r="A44" s="53" t="str">
        <f t="shared" si="1"/>
        <v>US-10-TC-42</v>
      </c>
      <c r="B44" s="53" t="s">
        <v>413</v>
      </c>
      <c r="C44" s="54" t="s">
        <v>331</v>
      </c>
      <c r="D44" s="62" t="s">
        <v>414</v>
      </c>
      <c r="E44" s="55" t="s">
        <v>415</v>
      </c>
      <c r="F44" s="55" t="s">
        <v>53</v>
      </c>
      <c r="G44" s="56"/>
    </row>
    <row r="45">
      <c r="A45" s="53" t="str">
        <f t="shared" si="1"/>
        <v>US-10-TC-43</v>
      </c>
      <c r="B45" s="53" t="s">
        <v>416</v>
      </c>
      <c r="C45" s="54" t="s">
        <v>331</v>
      </c>
      <c r="D45" s="62" t="s">
        <v>417</v>
      </c>
      <c r="E45" s="55" t="s">
        <v>501</v>
      </c>
      <c r="F45" s="55" t="s">
        <v>51</v>
      </c>
      <c r="G45" s="55" t="s">
        <v>124</v>
      </c>
    </row>
    <row r="46">
      <c r="A46" s="53" t="str">
        <f t="shared" si="1"/>
        <v>US-10-TC-44</v>
      </c>
      <c r="B46" s="53" t="s">
        <v>419</v>
      </c>
      <c r="C46" s="54" t="s">
        <v>331</v>
      </c>
      <c r="D46" s="62" t="s">
        <v>420</v>
      </c>
      <c r="E46" s="55" t="s">
        <v>502</v>
      </c>
      <c r="F46" s="55" t="s">
        <v>53</v>
      </c>
      <c r="G46" s="56"/>
    </row>
    <row r="47">
      <c r="A47" s="53" t="str">
        <f t="shared" si="1"/>
        <v>US-10-TC-45</v>
      </c>
      <c r="B47" s="53" t="s">
        <v>422</v>
      </c>
      <c r="C47" s="54" t="s">
        <v>331</v>
      </c>
      <c r="D47" s="62" t="s">
        <v>420</v>
      </c>
      <c r="E47" s="101" t="s">
        <v>423</v>
      </c>
      <c r="F47" s="55" t="s">
        <v>110</v>
      </c>
      <c r="G47" s="95" t="s">
        <v>111</v>
      </c>
    </row>
    <row r="48">
      <c r="A48" s="53" t="str">
        <f t="shared" si="1"/>
        <v>US-10-TC-46</v>
      </c>
      <c r="B48" s="53" t="s">
        <v>419</v>
      </c>
      <c r="C48" s="54" t="s">
        <v>331</v>
      </c>
      <c r="D48" s="62" t="s">
        <v>508</v>
      </c>
      <c r="E48" s="101" t="s">
        <v>502</v>
      </c>
      <c r="F48" s="55" t="s">
        <v>51</v>
      </c>
      <c r="G48" s="55" t="s">
        <v>108</v>
      </c>
    </row>
    <row r="49">
      <c r="A49" s="53" t="str">
        <f t="shared" si="1"/>
        <v>US-10-TC-47</v>
      </c>
      <c r="B49" s="53" t="s">
        <v>422</v>
      </c>
      <c r="C49" s="54" t="s">
        <v>331</v>
      </c>
      <c r="D49" s="62" t="s">
        <v>508</v>
      </c>
      <c r="E49" s="101" t="s">
        <v>423</v>
      </c>
      <c r="F49" s="55" t="s">
        <v>110</v>
      </c>
      <c r="G49" s="95" t="s">
        <v>111</v>
      </c>
    </row>
    <row r="50">
      <c r="A50" s="53" t="str">
        <f t="shared" ref="A50:A51" si="2">IF(#REF!&lt;&gt;"", "US-10-TC-" &amp; TEXT(COUNTA($B$3:B50), "00"), "")
</f>
        <v>#REF!</v>
      </c>
      <c r="B50" s="70" t="s">
        <v>634</v>
      </c>
      <c r="C50" s="54" t="s">
        <v>331</v>
      </c>
      <c r="D50" s="70" t="s">
        <v>431</v>
      </c>
      <c r="E50" s="70" t="s">
        <v>503</v>
      </c>
      <c r="F50" s="55" t="s">
        <v>51</v>
      </c>
      <c r="G50" s="114" t="s">
        <v>130</v>
      </c>
    </row>
    <row r="51">
      <c r="A51" s="53" t="str">
        <f t="shared" si="2"/>
        <v>#REF!</v>
      </c>
      <c r="B51" s="70" t="s">
        <v>635</v>
      </c>
      <c r="C51" s="54" t="s">
        <v>331</v>
      </c>
      <c r="D51" s="70" t="s">
        <v>431</v>
      </c>
      <c r="E51" s="70" t="s">
        <v>436</v>
      </c>
      <c r="F51" s="55" t="s">
        <v>51</v>
      </c>
      <c r="G51" s="114" t="s">
        <v>130</v>
      </c>
    </row>
    <row r="52">
      <c r="A52" s="53" t="str">
        <f t="shared" ref="A52:A58" si="3">IF(B50&lt;&gt;"", "US-10-TC-" &amp; TEXT(COUNTA($B$3:B52), "00"), "")
</f>
        <v>US-10-TC-50</v>
      </c>
      <c r="B52" s="70" t="s">
        <v>636</v>
      </c>
      <c r="C52" s="54" t="s">
        <v>331</v>
      </c>
      <c r="D52" s="70" t="s">
        <v>431</v>
      </c>
      <c r="E52" s="70" t="s">
        <v>503</v>
      </c>
      <c r="F52" s="55" t="s">
        <v>51</v>
      </c>
      <c r="G52" s="114" t="s">
        <v>134</v>
      </c>
    </row>
    <row r="53">
      <c r="A53" s="53" t="str">
        <f t="shared" si="3"/>
        <v>US-10-TC-51</v>
      </c>
      <c r="B53" s="70" t="s">
        <v>637</v>
      </c>
      <c r="C53" s="54" t="s">
        <v>331</v>
      </c>
      <c r="D53" s="70" t="s">
        <v>431</v>
      </c>
      <c r="E53" s="70" t="s">
        <v>436</v>
      </c>
      <c r="F53" s="55" t="s">
        <v>51</v>
      </c>
      <c r="G53" s="114" t="s">
        <v>134</v>
      </c>
    </row>
    <row r="54">
      <c r="A54" s="53" t="str">
        <f t="shared" si="3"/>
        <v>US-10-TC-52</v>
      </c>
      <c r="B54" s="70" t="s">
        <v>638</v>
      </c>
      <c r="C54" s="54" t="s">
        <v>331</v>
      </c>
      <c r="D54" s="70" t="s">
        <v>431</v>
      </c>
      <c r="E54" s="70" t="s">
        <v>503</v>
      </c>
      <c r="F54" s="55" t="s">
        <v>51</v>
      </c>
      <c r="G54" s="114" t="s">
        <v>139</v>
      </c>
    </row>
    <row r="55">
      <c r="A55" s="53" t="str">
        <f t="shared" si="3"/>
        <v>US-10-TC-53</v>
      </c>
      <c r="B55" s="70" t="s">
        <v>639</v>
      </c>
      <c r="C55" s="54" t="s">
        <v>331</v>
      </c>
      <c r="D55" s="70" t="s">
        <v>431</v>
      </c>
      <c r="E55" s="70" t="s">
        <v>436</v>
      </c>
      <c r="F55" s="55" t="s">
        <v>51</v>
      </c>
      <c r="G55" s="114" t="s">
        <v>139</v>
      </c>
    </row>
    <row r="56">
      <c r="A56" s="53" t="str">
        <f t="shared" si="3"/>
        <v>US-10-TC-54</v>
      </c>
      <c r="B56" s="70" t="s">
        <v>640</v>
      </c>
      <c r="C56" s="54" t="s">
        <v>331</v>
      </c>
      <c r="D56" s="70" t="s">
        <v>431</v>
      </c>
      <c r="E56" s="70" t="s">
        <v>503</v>
      </c>
      <c r="F56" s="55" t="s">
        <v>51</v>
      </c>
      <c r="G56" s="114" t="s">
        <v>143</v>
      </c>
    </row>
    <row r="57">
      <c r="A57" s="53" t="str">
        <f t="shared" si="3"/>
        <v>US-10-TC-55</v>
      </c>
      <c r="B57" s="70" t="s">
        <v>641</v>
      </c>
      <c r="C57" s="54" t="s">
        <v>331</v>
      </c>
      <c r="D57" s="70" t="s">
        <v>431</v>
      </c>
      <c r="E57" s="70" t="s">
        <v>436</v>
      </c>
      <c r="F57" s="55" t="s">
        <v>51</v>
      </c>
      <c r="G57" s="114" t="s">
        <v>143</v>
      </c>
    </row>
    <row r="58">
      <c r="A58" s="53" t="str">
        <f t="shared" si="3"/>
        <v>US-10-TC-56</v>
      </c>
      <c r="B58" s="70" t="s">
        <v>642</v>
      </c>
      <c r="C58" s="54" t="s">
        <v>331</v>
      </c>
      <c r="D58" s="70" t="s">
        <v>431</v>
      </c>
      <c r="E58" s="70" t="s">
        <v>503</v>
      </c>
      <c r="F58" s="55" t="s">
        <v>51</v>
      </c>
      <c r="G58" s="114" t="s">
        <v>130</v>
      </c>
    </row>
    <row r="59">
      <c r="A59" s="53" t="str">
        <f t="shared" ref="A59:A60" si="4">IF(B58&lt;&gt;"", "US-10-TC-" &amp; TEXT(COUNTA($B$3:B59), "00"), "")
</f>
        <v>US-10-TC-57</v>
      </c>
      <c r="B59" s="70" t="s">
        <v>643</v>
      </c>
      <c r="C59" s="54" t="s">
        <v>331</v>
      </c>
      <c r="D59" s="70" t="s">
        <v>431</v>
      </c>
      <c r="E59" s="70" t="s">
        <v>436</v>
      </c>
      <c r="F59" s="55" t="s">
        <v>51</v>
      </c>
      <c r="G59" s="114" t="s">
        <v>130</v>
      </c>
    </row>
    <row r="60">
      <c r="A60" s="53" t="str">
        <f t="shared" si="4"/>
        <v>US-10-TC-58</v>
      </c>
      <c r="B60" s="70" t="s">
        <v>644</v>
      </c>
      <c r="C60" s="54" t="s">
        <v>331</v>
      </c>
      <c r="D60" s="70" t="s">
        <v>431</v>
      </c>
      <c r="E60" s="70" t="s">
        <v>503</v>
      </c>
      <c r="F60" s="55" t="s">
        <v>53</v>
      </c>
      <c r="G60" s="45"/>
    </row>
    <row r="61">
      <c r="A61" s="53" t="str">
        <f t="shared" ref="A61:A65" si="5">IF(B59&lt;&gt;"", "US-10-TC-" &amp; TEXT(COUNTA($B$3:B61), "00"), "")
</f>
        <v>US-10-TC-59</v>
      </c>
      <c r="B61" s="70" t="s">
        <v>645</v>
      </c>
      <c r="C61" s="54" t="s">
        <v>331</v>
      </c>
      <c r="D61" s="70" t="s">
        <v>431</v>
      </c>
      <c r="E61" s="70" t="s">
        <v>436</v>
      </c>
      <c r="F61" s="55" t="s">
        <v>53</v>
      </c>
      <c r="G61" s="45"/>
    </row>
    <row r="62">
      <c r="A62" s="53" t="str">
        <f t="shared" si="5"/>
        <v>US-10-TC-60</v>
      </c>
      <c r="B62" s="70" t="s">
        <v>646</v>
      </c>
      <c r="C62" s="54" t="s">
        <v>331</v>
      </c>
      <c r="D62" s="70" t="s">
        <v>431</v>
      </c>
      <c r="E62" s="70" t="s">
        <v>503</v>
      </c>
      <c r="F62" s="55" t="s">
        <v>53</v>
      </c>
      <c r="G62" s="45"/>
    </row>
    <row r="63">
      <c r="A63" s="53" t="str">
        <f t="shared" si="5"/>
        <v>US-10-TC-61</v>
      </c>
      <c r="B63" s="70" t="s">
        <v>647</v>
      </c>
      <c r="C63" s="54" t="s">
        <v>331</v>
      </c>
      <c r="D63" s="70" t="s">
        <v>431</v>
      </c>
      <c r="E63" s="70" t="s">
        <v>436</v>
      </c>
      <c r="F63" s="55" t="s">
        <v>53</v>
      </c>
      <c r="G63" s="45"/>
    </row>
    <row r="64">
      <c r="A64" s="53" t="str">
        <f t="shared" si="5"/>
        <v>US-10-TC-62</v>
      </c>
      <c r="B64" s="70" t="s">
        <v>648</v>
      </c>
      <c r="C64" s="54" t="s">
        <v>331</v>
      </c>
      <c r="D64" s="70" t="s">
        <v>431</v>
      </c>
      <c r="E64" s="70" t="s">
        <v>503</v>
      </c>
      <c r="F64" s="55" t="s">
        <v>51</v>
      </c>
      <c r="G64" s="114" t="s">
        <v>155</v>
      </c>
    </row>
    <row r="65">
      <c r="A65" s="53" t="str">
        <f t="shared" si="5"/>
        <v>US-10-TC-63</v>
      </c>
      <c r="B65" s="70" t="s">
        <v>649</v>
      </c>
      <c r="C65" s="54" t="s">
        <v>331</v>
      </c>
      <c r="D65" s="70" t="s">
        <v>431</v>
      </c>
      <c r="E65" s="70" t="s">
        <v>436</v>
      </c>
      <c r="F65" s="55" t="s">
        <v>51</v>
      </c>
      <c r="G65" s="114" t="s">
        <v>155</v>
      </c>
    </row>
    <row r="66">
      <c r="G66" s="45"/>
    </row>
    <row r="67">
      <c r="G67" s="45"/>
    </row>
    <row r="68">
      <c r="G68" s="45"/>
    </row>
    <row r="69">
      <c r="G69" s="45"/>
    </row>
    <row r="70">
      <c r="G70" s="45"/>
    </row>
    <row r="71">
      <c r="G71" s="45"/>
    </row>
    <row r="72">
      <c r="G72" s="45"/>
    </row>
    <row r="73">
      <c r="G73" s="45"/>
    </row>
    <row r="74">
      <c r="G74" s="45"/>
    </row>
    <row r="75">
      <c r="G75" s="45"/>
    </row>
    <row r="76">
      <c r="G76" s="45"/>
    </row>
    <row r="77">
      <c r="G77" s="45"/>
    </row>
    <row r="78">
      <c r="G78" s="45"/>
    </row>
    <row r="79">
      <c r="G79" s="45"/>
    </row>
    <row r="80">
      <c r="G80" s="45"/>
    </row>
    <row r="81">
      <c r="G81" s="45"/>
    </row>
    <row r="82">
      <c r="G82" s="45"/>
    </row>
    <row r="83">
      <c r="G83" s="45"/>
    </row>
    <row r="84">
      <c r="G84" s="45"/>
    </row>
    <row r="85">
      <c r="G85" s="45"/>
    </row>
    <row r="86">
      <c r="G86" s="45"/>
    </row>
    <row r="87">
      <c r="G87" s="45"/>
    </row>
    <row r="88">
      <c r="G88" s="45"/>
    </row>
    <row r="89">
      <c r="G89" s="45"/>
    </row>
    <row r="90">
      <c r="G90" s="45"/>
    </row>
    <row r="91">
      <c r="G91" s="45"/>
    </row>
    <row r="92">
      <c r="G92" s="45"/>
    </row>
    <row r="93">
      <c r="G93" s="45"/>
    </row>
    <row r="94">
      <c r="G94" s="45"/>
    </row>
    <row r="95">
      <c r="G95" s="45"/>
    </row>
    <row r="96">
      <c r="G96" s="45"/>
    </row>
    <row r="97">
      <c r="G97" s="45"/>
    </row>
    <row r="98">
      <c r="G98" s="45"/>
    </row>
    <row r="99">
      <c r="G99" s="45"/>
    </row>
    <row r="100">
      <c r="G100" s="45"/>
    </row>
    <row r="101">
      <c r="G101" s="45"/>
    </row>
    <row r="102">
      <c r="G102" s="45"/>
    </row>
    <row r="103">
      <c r="G103" s="45"/>
    </row>
    <row r="104">
      <c r="G104" s="45"/>
    </row>
    <row r="105">
      <c r="G105" s="45"/>
    </row>
    <row r="106">
      <c r="G106" s="45"/>
    </row>
    <row r="107">
      <c r="G107" s="45"/>
    </row>
    <row r="108">
      <c r="G108" s="45"/>
    </row>
    <row r="109">
      <c r="G109" s="45"/>
    </row>
    <row r="110">
      <c r="G110" s="45"/>
    </row>
    <row r="111">
      <c r="G111" s="45"/>
    </row>
    <row r="112">
      <c r="G112" s="45"/>
    </row>
    <row r="113">
      <c r="G113" s="45"/>
    </row>
    <row r="114">
      <c r="G114" s="45"/>
    </row>
    <row r="115">
      <c r="G115" s="45"/>
    </row>
    <row r="116">
      <c r="G116" s="45"/>
    </row>
    <row r="117">
      <c r="G117" s="45"/>
    </row>
    <row r="118">
      <c r="G118" s="45"/>
    </row>
    <row r="119">
      <c r="G119" s="45"/>
    </row>
    <row r="120">
      <c r="G120" s="45"/>
    </row>
    <row r="121">
      <c r="G121" s="45"/>
    </row>
    <row r="122">
      <c r="G122" s="45"/>
    </row>
    <row r="123">
      <c r="G123" s="45"/>
    </row>
    <row r="124">
      <c r="G124" s="45"/>
    </row>
    <row r="125">
      <c r="G125" s="45"/>
    </row>
    <row r="126">
      <c r="G126" s="45"/>
    </row>
    <row r="127">
      <c r="G127" s="45"/>
    </row>
    <row r="128">
      <c r="G128" s="45"/>
    </row>
    <row r="129">
      <c r="G129" s="45"/>
    </row>
    <row r="130">
      <c r="G130" s="45"/>
    </row>
    <row r="131">
      <c r="G131" s="45"/>
    </row>
    <row r="132">
      <c r="G132" s="45"/>
    </row>
    <row r="133">
      <c r="G133" s="45"/>
    </row>
    <row r="134">
      <c r="G134" s="45"/>
    </row>
    <row r="135">
      <c r="G135" s="45"/>
    </row>
    <row r="136">
      <c r="G136" s="45"/>
    </row>
    <row r="137">
      <c r="G137" s="45"/>
    </row>
    <row r="138">
      <c r="G138" s="45"/>
    </row>
    <row r="139">
      <c r="G139" s="45"/>
    </row>
    <row r="140">
      <c r="G140" s="45"/>
    </row>
    <row r="141">
      <c r="G141" s="45"/>
    </row>
    <row r="142">
      <c r="G142" s="45"/>
    </row>
    <row r="143">
      <c r="G143" s="45"/>
    </row>
    <row r="144">
      <c r="G144" s="45"/>
    </row>
    <row r="145">
      <c r="G145" s="45"/>
    </row>
    <row r="146">
      <c r="G146" s="45"/>
    </row>
    <row r="147">
      <c r="G147" s="45"/>
    </row>
    <row r="148">
      <c r="G148" s="45"/>
    </row>
    <row r="149">
      <c r="G149" s="45"/>
    </row>
    <row r="150">
      <c r="G150" s="45"/>
    </row>
    <row r="151">
      <c r="G151" s="45"/>
    </row>
    <row r="152">
      <c r="G152" s="45"/>
    </row>
    <row r="153">
      <c r="G153" s="45"/>
    </row>
    <row r="154">
      <c r="G154" s="45"/>
    </row>
    <row r="155">
      <c r="G155" s="45"/>
    </row>
    <row r="156">
      <c r="G156" s="45"/>
    </row>
    <row r="157">
      <c r="G157" s="45"/>
    </row>
    <row r="158">
      <c r="G158" s="45"/>
    </row>
    <row r="159">
      <c r="G159" s="45"/>
    </row>
    <row r="160">
      <c r="G160" s="45"/>
    </row>
    <row r="161">
      <c r="G161" s="45"/>
    </row>
    <row r="162">
      <c r="G162" s="45"/>
    </row>
    <row r="163">
      <c r="G163" s="45"/>
    </row>
    <row r="164">
      <c r="G164" s="45"/>
    </row>
    <row r="165">
      <c r="G165" s="45"/>
    </row>
    <row r="166">
      <c r="G166" s="45"/>
    </row>
    <row r="167">
      <c r="G167" s="45"/>
    </row>
    <row r="168">
      <c r="G168" s="45"/>
    </row>
    <row r="169">
      <c r="G169" s="45"/>
    </row>
    <row r="170">
      <c r="G170" s="45"/>
    </row>
    <row r="171">
      <c r="G171" s="45"/>
    </row>
    <row r="172">
      <c r="G172" s="45"/>
    </row>
    <row r="173">
      <c r="G173" s="45"/>
    </row>
    <row r="174">
      <c r="G174" s="45"/>
    </row>
    <row r="175">
      <c r="G175" s="45"/>
    </row>
    <row r="176">
      <c r="G176" s="45"/>
    </row>
    <row r="177">
      <c r="G177" s="45"/>
    </row>
    <row r="178">
      <c r="G178" s="45"/>
    </row>
    <row r="179">
      <c r="G179" s="45"/>
    </row>
    <row r="180">
      <c r="G180" s="45"/>
    </row>
    <row r="181">
      <c r="G181" s="45"/>
    </row>
    <row r="182">
      <c r="G182" s="45"/>
    </row>
    <row r="183">
      <c r="G183" s="45"/>
    </row>
    <row r="184">
      <c r="G184" s="45"/>
    </row>
    <row r="185">
      <c r="G185" s="45"/>
    </row>
    <row r="186">
      <c r="G186" s="45"/>
    </row>
    <row r="187">
      <c r="G187" s="45"/>
    </row>
    <row r="188">
      <c r="G188" s="45"/>
    </row>
    <row r="189">
      <c r="G189" s="45"/>
    </row>
    <row r="190">
      <c r="G190" s="45"/>
    </row>
    <row r="191">
      <c r="G191" s="45"/>
    </row>
    <row r="192">
      <c r="G192" s="45"/>
    </row>
    <row r="193">
      <c r="G193" s="45"/>
    </row>
    <row r="194">
      <c r="G194" s="45"/>
    </row>
    <row r="195">
      <c r="G195" s="45"/>
    </row>
    <row r="196">
      <c r="G196" s="45"/>
    </row>
    <row r="197">
      <c r="G197" s="45"/>
    </row>
    <row r="198">
      <c r="G198" s="45"/>
    </row>
    <row r="199">
      <c r="G199" s="45"/>
    </row>
    <row r="200">
      <c r="G200" s="45"/>
    </row>
    <row r="201">
      <c r="G201" s="45"/>
    </row>
    <row r="202">
      <c r="G202" s="45"/>
    </row>
    <row r="203">
      <c r="G203" s="45"/>
    </row>
    <row r="204">
      <c r="G204" s="45"/>
    </row>
    <row r="205">
      <c r="G205" s="45"/>
    </row>
    <row r="206">
      <c r="G206" s="45"/>
    </row>
    <row r="207">
      <c r="G207" s="45"/>
    </row>
    <row r="208">
      <c r="G208" s="45"/>
    </row>
    <row r="209">
      <c r="G209" s="45"/>
    </row>
    <row r="210">
      <c r="G210" s="45"/>
    </row>
    <row r="211">
      <c r="G211" s="45"/>
    </row>
    <row r="212">
      <c r="G212" s="45"/>
    </row>
    <row r="213">
      <c r="G213" s="45"/>
    </row>
    <row r="214">
      <c r="G214" s="45"/>
    </row>
    <row r="215">
      <c r="G215" s="45"/>
    </row>
    <row r="216">
      <c r="G216" s="45"/>
    </row>
    <row r="217">
      <c r="G217" s="45"/>
    </row>
    <row r="218">
      <c r="G218" s="45"/>
    </row>
    <row r="219">
      <c r="G219" s="45"/>
    </row>
    <row r="220">
      <c r="G220" s="45"/>
    </row>
    <row r="221">
      <c r="G221" s="45"/>
    </row>
    <row r="222">
      <c r="G222" s="45"/>
    </row>
    <row r="223">
      <c r="G223" s="45"/>
    </row>
    <row r="224">
      <c r="G224" s="45"/>
    </row>
    <row r="225">
      <c r="G225" s="45"/>
    </row>
    <row r="226">
      <c r="G226" s="45"/>
    </row>
    <row r="227">
      <c r="G227" s="45"/>
    </row>
    <row r="228">
      <c r="G228" s="45"/>
    </row>
    <row r="229">
      <c r="G229" s="45"/>
    </row>
    <row r="230">
      <c r="G230" s="45"/>
    </row>
    <row r="231">
      <c r="G231" s="45"/>
    </row>
    <row r="232">
      <c r="G232" s="45"/>
    </row>
    <row r="233">
      <c r="G233" s="45"/>
    </row>
    <row r="234">
      <c r="G234" s="45"/>
    </row>
    <row r="235">
      <c r="G235" s="45"/>
    </row>
    <row r="236">
      <c r="G236" s="45"/>
    </row>
    <row r="237">
      <c r="G237" s="45"/>
    </row>
    <row r="238">
      <c r="G238" s="45"/>
    </row>
    <row r="239">
      <c r="G239" s="45"/>
    </row>
    <row r="240">
      <c r="G240" s="45"/>
    </row>
    <row r="241">
      <c r="G241" s="45"/>
    </row>
    <row r="242">
      <c r="G242" s="45"/>
    </row>
    <row r="243">
      <c r="G243" s="45"/>
    </row>
    <row r="244">
      <c r="G244" s="45"/>
    </row>
    <row r="245">
      <c r="G245" s="45"/>
    </row>
    <row r="246">
      <c r="G246" s="45"/>
    </row>
    <row r="247">
      <c r="G247" s="45"/>
    </row>
    <row r="248">
      <c r="G248" s="45"/>
    </row>
    <row r="249">
      <c r="G249" s="45"/>
    </row>
    <row r="250">
      <c r="G250" s="45"/>
    </row>
    <row r="251">
      <c r="G251" s="45"/>
    </row>
    <row r="252">
      <c r="G252" s="45"/>
    </row>
    <row r="253">
      <c r="G253" s="45"/>
    </row>
    <row r="254">
      <c r="G254" s="45"/>
    </row>
    <row r="255">
      <c r="G255" s="45"/>
    </row>
    <row r="256">
      <c r="G256" s="45"/>
    </row>
    <row r="257">
      <c r="G257" s="45"/>
    </row>
    <row r="258">
      <c r="G258" s="45"/>
    </row>
    <row r="259">
      <c r="G259" s="45"/>
    </row>
    <row r="260">
      <c r="G260" s="45"/>
    </row>
    <row r="261">
      <c r="G261" s="45"/>
    </row>
    <row r="262">
      <c r="G262" s="45"/>
    </row>
    <row r="263">
      <c r="G263" s="45"/>
    </row>
    <row r="264">
      <c r="G264" s="45"/>
    </row>
    <row r="265">
      <c r="G265" s="45"/>
    </row>
    <row r="266">
      <c r="G266" s="45"/>
    </row>
    <row r="267">
      <c r="G267" s="45"/>
    </row>
    <row r="268">
      <c r="G268" s="45"/>
    </row>
    <row r="269">
      <c r="G269" s="45"/>
    </row>
    <row r="270">
      <c r="G270" s="45"/>
    </row>
    <row r="271">
      <c r="G271" s="45"/>
    </row>
    <row r="272">
      <c r="G272" s="45"/>
    </row>
    <row r="273">
      <c r="G273" s="45"/>
    </row>
    <row r="274">
      <c r="G274" s="45"/>
    </row>
    <row r="275">
      <c r="G275" s="45"/>
    </row>
    <row r="276">
      <c r="G276" s="45"/>
    </row>
    <row r="277">
      <c r="G277" s="45"/>
    </row>
    <row r="278">
      <c r="G278" s="45"/>
    </row>
    <row r="279">
      <c r="G279" s="45"/>
    </row>
    <row r="280">
      <c r="G280" s="45"/>
    </row>
    <row r="281">
      <c r="G281" s="45"/>
    </row>
    <row r="282">
      <c r="G282" s="45"/>
    </row>
    <row r="283">
      <c r="G283" s="45"/>
    </row>
    <row r="284">
      <c r="G284" s="45"/>
    </row>
    <row r="285">
      <c r="G285" s="45"/>
    </row>
    <row r="286">
      <c r="G286" s="45"/>
    </row>
    <row r="287">
      <c r="G287" s="45"/>
    </row>
    <row r="288">
      <c r="G288" s="45"/>
    </row>
    <row r="289">
      <c r="G289" s="45"/>
    </row>
    <row r="290">
      <c r="G290" s="45"/>
    </row>
    <row r="291">
      <c r="G291" s="45"/>
    </row>
    <row r="292">
      <c r="G292" s="45"/>
    </row>
    <row r="293">
      <c r="G293" s="45"/>
    </row>
    <row r="294">
      <c r="G294" s="45"/>
    </row>
    <row r="295">
      <c r="G295" s="45"/>
    </row>
    <row r="296">
      <c r="G296" s="45"/>
    </row>
    <row r="297">
      <c r="G297" s="45"/>
    </row>
    <row r="298">
      <c r="G298" s="45"/>
    </row>
    <row r="299">
      <c r="G299" s="45"/>
    </row>
    <row r="300">
      <c r="G300" s="45"/>
    </row>
    <row r="301">
      <c r="G301" s="45"/>
    </row>
    <row r="302">
      <c r="G302" s="45"/>
    </row>
    <row r="303">
      <c r="G303" s="45"/>
    </row>
    <row r="304">
      <c r="G304" s="45"/>
    </row>
    <row r="305">
      <c r="G305" s="45"/>
    </row>
    <row r="306">
      <c r="G306" s="45"/>
    </row>
    <row r="307">
      <c r="G307" s="45"/>
    </row>
    <row r="308">
      <c r="G308" s="45"/>
    </row>
    <row r="309">
      <c r="G309" s="45"/>
    </row>
    <row r="310">
      <c r="G310" s="45"/>
    </row>
    <row r="311">
      <c r="G311" s="45"/>
    </row>
    <row r="312">
      <c r="G312" s="45"/>
    </row>
    <row r="313">
      <c r="G313" s="45"/>
    </row>
    <row r="314">
      <c r="G314" s="45"/>
    </row>
    <row r="315">
      <c r="G315" s="45"/>
    </row>
    <row r="316">
      <c r="G316" s="45"/>
    </row>
    <row r="317">
      <c r="G317" s="45"/>
    </row>
    <row r="318">
      <c r="G318" s="45"/>
    </row>
    <row r="319">
      <c r="G319" s="45"/>
    </row>
    <row r="320">
      <c r="G320" s="45"/>
    </row>
    <row r="321">
      <c r="G321" s="45"/>
    </row>
    <row r="322">
      <c r="G322" s="45"/>
    </row>
    <row r="323">
      <c r="G323" s="45"/>
    </row>
    <row r="324">
      <c r="G324" s="45"/>
    </row>
    <row r="325">
      <c r="G325" s="45"/>
    </row>
    <row r="326">
      <c r="G326" s="45"/>
    </row>
    <row r="327">
      <c r="G327" s="45"/>
    </row>
    <row r="328">
      <c r="G328" s="45"/>
    </row>
    <row r="329">
      <c r="G329" s="45"/>
    </row>
    <row r="330">
      <c r="G330" s="45"/>
    </row>
    <row r="331">
      <c r="G331" s="45"/>
    </row>
    <row r="332">
      <c r="G332" s="45"/>
    </row>
    <row r="333">
      <c r="G333" s="45"/>
    </row>
    <row r="334">
      <c r="G334" s="45"/>
    </row>
    <row r="335">
      <c r="G335" s="45"/>
    </row>
    <row r="336">
      <c r="G336" s="45"/>
    </row>
    <row r="337">
      <c r="G337" s="45"/>
    </row>
    <row r="338">
      <c r="G338" s="45"/>
    </row>
    <row r="339">
      <c r="G339" s="45"/>
    </row>
    <row r="340">
      <c r="G340" s="45"/>
    </row>
    <row r="341">
      <c r="G341" s="45"/>
    </row>
    <row r="342">
      <c r="G342" s="45"/>
    </row>
    <row r="343">
      <c r="G343" s="45"/>
    </row>
    <row r="344">
      <c r="G344" s="45"/>
    </row>
    <row r="345">
      <c r="G345" s="45"/>
    </row>
    <row r="346">
      <c r="G346" s="45"/>
    </row>
    <row r="347">
      <c r="G347" s="45"/>
    </row>
    <row r="348">
      <c r="G348" s="45"/>
    </row>
    <row r="349">
      <c r="G349" s="45"/>
    </row>
    <row r="350">
      <c r="G350" s="45"/>
    </row>
    <row r="351">
      <c r="G351" s="45"/>
    </row>
    <row r="352">
      <c r="G352" s="45"/>
    </row>
    <row r="353">
      <c r="G353" s="45"/>
    </row>
    <row r="354">
      <c r="G354" s="45"/>
    </row>
    <row r="355">
      <c r="G355" s="45"/>
    </row>
    <row r="356">
      <c r="G356" s="45"/>
    </row>
    <row r="357">
      <c r="G357" s="45"/>
    </row>
    <row r="358">
      <c r="G358" s="45"/>
    </row>
    <row r="359">
      <c r="G359" s="45"/>
    </row>
    <row r="360">
      <c r="G360" s="45"/>
    </row>
    <row r="361">
      <c r="G361" s="45"/>
    </row>
    <row r="362">
      <c r="G362" s="45"/>
    </row>
    <row r="363">
      <c r="G363" s="45"/>
    </row>
    <row r="364">
      <c r="G364" s="45"/>
    </row>
    <row r="365">
      <c r="G365" s="45"/>
    </row>
    <row r="366">
      <c r="G366" s="45"/>
    </row>
    <row r="367">
      <c r="G367" s="45"/>
    </row>
    <row r="368">
      <c r="G368" s="45"/>
    </row>
    <row r="369">
      <c r="G369" s="45"/>
    </row>
    <row r="370">
      <c r="G370" s="45"/>
    </row>
    <row r="371">
      <c r="G371" s="45"/>
    </row>
    <row r="372">
      <c r="G372" s="45"/>
    </row>
    <row r="373">
      <c r="G373" s="45"/>
    </row>
    <row r="374">
      <c r="G374" s="45"/>
    </row>
    <row r="375">
      <c r="G375" s="45"/>
    </row>
    <row r="376">
      <c r="G376" s="45"/>
    </row>
    <row r="377">
      <c r="G377" s="45"/>
    </row>
    <row r="378">
      <c r="G378" s="45"/>
    </row>
    <row r="379">
      <c r="G379" s="45"/>
    </row>
    <row r="380">
      <c r="G380" s="45"/>
    </row>
    <row r="381">
      <c r="G381" s="45"/>
    </row>
    <row r="382">
      <c r="G382" s="45"/>
    </row>
    <row r="383">
      <c r="G383" s="45"/>
    </row>
    <row r="384">
      <c r="G384" s="45"/>
    </row>
    <row r="385">
      <c r="G385" s="45"/>
    </row>
    <row r="386">
      <c r="G386" s="45"/>
    </row>
    <row r="387">
      <c r="G387" s="45"/>
    </row>
    <row r="388">
      <c r="G388" s="45"/>
    </row>
    <row r="389">
      <c r="G389" s="45"/>
    </row>
    <row r="390">
      <c r="G390" s="45"/>
    </row>
    <row r="391">
      <c r="G391" s="45"/>
    </row>
    <row r="392">
      <c r="G392" s="45"/>
    </row>
    <row r="393">
      <c r="G393" s="45"/>
    </row>
    <row r="394">
      <c r="G394" s="45"/>
    </row>
    <row r="395">
      <c r="G395" s="45"/>
    </row>
    <row r="396">
      <c r="G396" s="45"/>
    </row>
    <row r="397">
      <c r="G397" s="45"/>
    </row>
    <row r="398">
      <c r="G398" s="45"/>
    </row>
    <row r="399">
      <c r="G399" s="45"/>
    </row>
    <row r="400">
      <c r="G400" s="45"/>
    </row>
    <row r="401">
      <c r="G401" s="45"/>
    </row>
    <row r="402">
      <c r="G402" s="45"/>
    </row>
    <row r="403">
      <c r="G403" s="45"/>
    </row>
    <row r="404">
      <c r="G404" s="45"/>
    </row>
    <row r="405">
      <c r="G405" s="45"/>
    </row>
    <row r="406">
      <c r="G406" s="45"/>
    </row>
    <row r="407">
      <c r="G407" s="45"/>
    </row>
    <row r="408">
      <c r="G408" s="45"/>
    </row>
    <row r="409">
      <c r="G409" s="45"/>
    </row>
    <row r="410">
      <c r="G410" s="45"/>
    </row>
    <row r="411">
      <c r="G411" s="45"/>
    </row>
    <row r="412">
      <c r="G412" s="45"/>
    </row>
    <row r="413">
      <c r="G413" s="45"/>
    </row>
    <row r="414">
      <c r="G414" s="45"/>
    </row>
    <row r="415">
      <c r="G415" s="45"/>
    </row>
    <row r="416">
      <c r="G416" s="45"/>
    </row>
    <row r="417">
      <c r="G417" s="45"/>
    </row>
    <row r="418">
      <c r="G418" s="45"/>
    </row>
    <row r="419">
      <c r="G419" s="45"/>
    </row>
    <row r="420">
      <c r="G420" s="45"/>
    </row>
    <row r="421">
      <c r="G421" s="45"/>
    </row>
    <row r="422">
      <c r="G422" s="45"/>
    </row>
    <row r="423">
      <c r="G423" s="45"/>
    </row>
    <row r="424">
      <c r="G424" s="45"/>
    </row>
    <row r="425">
      <c r="G425" s="45"/>
    </row>
    <row r="426">
      <c r="G426" s="45"/>
    </row>
    <row r="427">
      <c r="G427" s="45"/>
    </row>
    <row r="428">
      <c r="G428" s="45"/>
    </row>
    <row r="429">
      <c r="G429" s="45"/>
    </row>
    <row r="430">
      <c r="G430" s="45"/>
    </row>
    <row r="431">
      <c r="G431" s="45"/>
    </row>
    <row r="432">
      <c r="G432" s="45"/>
    </row>
    <row r="433">
      <c r="G433" s="45"/>
    </row>
    <row r="434">
      <c r="G434" s="45"/>
    </row>
    <row r="435">
      <c r="G435" s="45"/>
    </row>
    <row r="436">
      <c r="G436" s="45"/>
    </row>
    <row r="437">
      <c r="G437" s="45"/>
    </row>
    <row r="438">
      <c r="G438" s="45"/>
    </row>
    <row r="439">
      <c r="G439" s="45"/>
    </row>
    <row r="440">
      <c r="G440" s="45"/>
    </row>
    <row r="441">
      <c r="G441" s="45"/>
    </row>
    <row r="442">
      <c r="G442" s="45"/>
    </row>
    <row r="443">
      <c r="G443" s="45"/>
    </row>
    <row r="444">
      <c r="G444" s="45"/>
    </row>
    <row r="445">
      <c r="G445" s="45"/>
    </row>
    <row r="446">
      <c r="G446" s="45"/>
    </row>
    <row r="447">
      <c r="G447" s="45"/>
    </row>
    <row r="448">
      <c r="G448" s="45"/>
    </row>
    <row r="449">
      <c r="G449" s="45"/>
    </row>
    <row r="450">
      <c r="G450" s="45"/>
    </row>
    <row r="451">
      <c r="G451" s="45"/>
    </row>
    <row r="452">
      <c r="G452" s="45"/>
    </row>
    <row r="453">
      <c r="G453" s="45"/>
    </row>
    <row r="454">
      <c r="G454" s="45"/>
    </row>
    <row r="455">
      <c r="G455" s="45"/>
    </row>
    <row r="456">
      <c r="G456" s="45"/>
    </row>
    <row r="457">
      <c r="G457" s="45"/>
    </row>
    <row r="458">
      <c r="G458" s="45"/>
    </row>
    <row r="459">
      <c r="G459" s="45"/>
    </row>
    <row r="460">
      <c r="G460" s="45"/>
    </row>
    <row r="461">
      <c r="G461" s="45"/>
    </row>
    <row r="462">
      <c r="G462" s="45"/>
    </row>
    <row r="463">
      <c r="G463" s="45"/>
    </row>
    <row r="464">
      <c r="G464" s="45"/>
    </row>
    <row r="465">
      <c r="G465" s="45"/>
    </row>
    <row r="466">
      <c r="G466" s="45"/>
    </row>
    <row r="467">
      <c r="G467" s="45"/>
    </row>
    <row r="468">
      <c r="G468" s="45"/>
    </row>
    <row r="469">
      <c r="G469" s="45"/>
    </row>
    <row r="470">
      <c r="G470" s="45"/>
    </row>
    <row r="471">
      <c r="G471" s="45"/>
    </row>
    <row r="472">
      <c r="G472" s="45"/>
    </row>
    <row r="473">
      <c r="G473" s="45"/>
    </row>
    <row r="474">
      <c r="G474" s="45"/>
    </row>
    <row r="475">
      <c r="G475" s="45"/>
    </row>
    <row r="476">
      <c r="G476" s="45"/>
    </row>
    <row r="477">
      <c r="G477" s="45"/>
    </row>
    <row r="478">
      <c r="G478" s="45"/>
    </row>
    <row r="479">
      <c r="G479" s="45"/>
    </row>
    <row r="480">
      <c r="G480" s="45"/>
    </row>
    <row r="481">
      <c r="G481" s="45"/>
    </row>
    <row r="482">
      <c r="G482" s="45"/>
    </row>
    <row r="483">
      <c r="G483" s="45"/>
    </row>
    <row r="484">
      <c r="G484" s="45"/>
    </row>
    <row r="485">
      <c r="G485" s="45"/>
    </row>
    <row r="486">
      <c r="G486" s="45"/>
    </row>
    <row r="487">
      <c r="G487" s="45"/>
    </row>
    <row r="488">
      <c r="G488" s="45"/>
    </row>
    <row r="489">
      <c r="G489" s="45"/>
    </row>
    <row r="490">
      <c r="G490" s="45"/>
    </row>
    <row r="491">
      <c r="G491" s="45"/>
    </row>
    <row r="492">
      <c r="G492" s="45"/>
    </row>
    <row r="493">
      <c r="G493" s="45"/>
    </row>
    <row r="494">
      <c r="G494" s="45"/>
    </row>
    <row r="495">
      <c r="G495" s="45"/>
    </row>
    <row r="496">
      <c r="G496" s="45"/>
    </row>
    <row r="497">
      <c r="G497" s="45"/>
    </row>
    <row r="498">
      <c r="G498" s="45"/>
    </row>
    <row r="499">
      <c r="G499" s="45"/>
    </row>
    <row r="500">
      <c r="G500" s="45"/>
    </row>
    <row r="501">
      <c r="G501" s="45"/>
    </row>
    <row r="502">
      <c r="G502" s="45"/>
    </row>
    <row r="503">
      <c r="G503" s="45"/>
    </row>
    <row r="504">
      <c r="G504" s="45"/>
    </row>
    <row r="505">
      <c r="G505" s="45"/>
    </row>
    <row r="506">
      <c r="G506" s="45"/>
    </row>
    <row r="507">
      <c r="G507" s="45"/>
    </row>
    <row r="508">
      <c r="G508" s="45"/>
    </row>
    <row r="509">
      <c r="G509" s="45"/>
    </row>
    <row r="510">
      <c r="G510" s="45"/>
    </row>
    <row r="511">
      <c r="G511" s="45"/>
    </row>
    <row r="512">
      <c r="G512" s="45"/>
    </row>
    <row r="513">
      <c r="G513" s="45"/>
    </row>
    <row r="514">
      <c r="G514" s="45"/>
    </row>
    <row r="515">
      <c r="G515" s="45"/>
    </row>
    <row r="516">
      <c r="G516" s="45"/>
    </row>
    <row r="517">
      <c r="G517" s="45"/>
    </row>
    <row r="518">
      <c r="G518" s="45"/>
    </row>
    <row r="519">
      <c r="G519" s="45"/>
    </row>
    <row r="520">
      <c r="G520" s="45"/>
    </row>
    <row r="521">
      <c r="G521" s="45"/>
    </row>
    <row r="522">
      <c r="G522" s="45"/>
    </row>
    <row r="523">
      <c r="G523" s="45"/>
    </row>
    <row r="524">
      <c r="G524" s="45"/>
    </row>
    <row r="525">
      <c r="G525" s="45"/>
    </row>
    <row r="526">
      <c r="G526" s="45"/>
    </row>
    <row r="527">
      <c r="G527" s="45"/>
    </row>
    <row r="528">
      <c r="G528" s="45"/>
    </row>
    <row r="529">
      <c r="G529" s="45"/>
    </row>
    <row r="530">
      <c r="G530" s="45"/>
    </row>
    <row r="531">
      <c r="G531" s="45"/>
    </row>
    <row r="532">
      <c r="G532" s="45"/>
    </row>
    <row r="533">
      <c r="G533" s="45"/>
    </row>
    <row r="534">
      <c r="G534" s="45"/>
    </row>
    <row r="535">
      <c r="G535" s="45"/>
    </row>
    <row r="536">
      <c r="G536" s="45"/>
    </row>
    <row r="537">
      <c r="G537" s="45"/>
    </row>
    <row r="538">
      <c r="G538" s="45"/>
    </row>
    <row r="539">
      <c r="G539" s="45"/>
    </row>
    <row r="540">
      <c r="G540" s="45"/>
    </row>
    <row r="541">
      <c r="G541" s="45"/>
    </row>
    <row r="542">
      <c r="G542" s="45"/>
    </row>
    <row r="543">
      <c r="G543" s="45"/>
    </row>
    <row r="544">
      <c r="G544" s="45"/>
    </row>
    <row r="545">
      <c r="G545" s="45"/>
    </row>
    <row r="546">
      <c r="G546" s="45"/>
    </row>
    <row r="547">
      <c r="G547" s="45"/>
    </row>
    <row r="548">
      <c r="G548" s="45"/>
    </row>
    <row r="549">
      <c r="G549" s="45"/>
    </row>
    <row r="550">
      <c r="G550" s="45"/>
    </row>
    <row r="551">
      <c r="G551" s="45"/>
    </row>
    <row r="552">
      <c r="G552" s="45"/>
    </row>
    <row r="553">
      <c r="G553" s="45"/>
    </row>
    <row r="554">
      <c r="G554" s="45"/>
    </row>
    <row r="555">
      <c r="G555" s="45"/>
    </row>
    <row r="556">
      <c r="G556" s="45"/>
    </row>
    <row r="557">
      <c r="G557" s="45"/>
    </row>
    <row r="558">
      <c r="G558" s="45"/>
    </row>
    <row r="559">
      <c r="G559" s="45"/>
    </row>
    <row r="560">
      <c r="G560" s="45"/>
    </row>
    <row r="561">
      <c r="G561" s="45"/>
    </row>
    <row r="562">
      <c r="G562" s="45"/>
    </row>
    <row r="563">
      <c r="G563" s="45"/>
    </row>
    <row r="564">
      <c r="G564" s="45"/>
    </row>
    <row r="565">
      <c r="G565" s="45"/>
    </row>
    <row r="566">
      <c r="G566" s="45"/>
    </row>
    <row r="567">
      <c r="G567" s="45"/>
    </row>
    <row r="568">
      <c r="G568" s="45"/>
    </row>
    <row r="569">
      <c r="G569" s="45"/>
    </row>
    <row r="570">
      <c r="G570" s="45"/>
    </row>
    <row r="571">
      <c r="G571" s="45"/>
    </row>
    <row r="572">
      <c r="G572" s="45"/>
    </row>
    <row r="573">
      <c r="G573" s="45"/>
    </row>
    <row r="574">
      <c r="G574" s="45"/>
    </row>
    <row r="575">
      <c r="G575" s="45"/>
    </row>
    <row r="576">
      <c r="G576" s="45"/>
    </row>
    <row r="577">
      <c r="G577" s="45"/>
    </row>
    <row r="578">
      <c r="G578" s="45"/>
    </row>
    <row r="579">
      <c r="G579" s="45"/>
    </row>
    <row r="580">
      <c r="G580" s="45"/>
    </row>
    <row r="581">
      <c r="G581" s="45"/>
    </row>
    <row r="582">
      <c r="G582" s="45"/>
    </row>
    <row r="583">
      <c r="G583" s="45"/>
    </row>
    <row r="584">
      <c r="G584" s="45"/>
    </row>
    <row r="585">
      <c r="G585" s="45"/>
    </row>
    <row r="586">
      <c r="G586" s="45"/>
    </row>
    <row r="587">
      <c r="G587" s="45"/>
    </row>
    <row r="588">
      <c r="G588" s="45"/>
    </row>
    <row r="589">
      <c r="G589" s="45"/>
    </row>
    <row r="590">
      <c r="G590" s="45"/>
    </row>
    <row r="591">
      <c r="G591" s="45"/>
    </row>
    <row r="592">
      <c r="G592" s="45"/>
    </row>
    <row r="593">
      <c r="G593" s="45"/>
    </row>
    <row r="594">
      <c r="G594" s="45"/>
    </row>
    <row r="595">
      <c r="G595" s="45"/>
    </row>
    <row r="596">
      <c r="G596" s="45"/>
    </row>
    <row r="597">
      <c r="G597" s="45"/>
    </row>
    <row r="598">
      <c r="G598" s="45"/>
    </row>
    <row r="599">
      <c r="G599" s="45"/>
    </row>
    <row r="600">
      <c r="G600" s="45"/>
    </row>
    <row r="601">
      <c r="G601" s="45"/>
    </row>
    <row r="602">
      <c r="G602" s="45"/>
    </row>
    <row r="603">
      <c r="G603" s="45"/>
    </row>
    <row r="604">
      <c r="G604" s="45"/>
    </row>
    <row r="605">
      <c r="G605" s="45"/>
    </row>
    <row r="606">
      <c r="G606" s="45"/>
    </row>
    <row r="607">
      <c r="G607" s="45"/>
    </row>
    <row r="608">
      <c r="G608" s="45"/>
    </row>
    <row r="609">
      <c r="G609" s="45"/>
    </row>
    <row r="610">
      <c r="G610" s="45"/>
    </row>
    <row r="611">
      <c r="G611" s="45"/>
    </row>
    <row r="612">
      <c r="G612" s="45"/>
    </row>
    <row r="613">
      <c r="G613" s="45"/>
    </row>
    <row r="614">
      <c r="G614" s="45"/>
    </row>
    <row r="615">
      <c r="G615" s="45"/>
    </row>
    <row r="616">
      <c r="G616" s="45"/>
    </row>
    <row r="617">
      <c r="G617" s="45"/>
    </row>
    <row r="618">
      <c r="G618" s="45"/>
    </row>
    <row r="619">
      <c r="G619" s="45"/>
    </row>
    <row r="620">
      <c r="G620" s="45"/>
    </row>
    <row r="621">
      <c r="G621" s="45"/>
    </row>
    <row r="622">
      <c r="G622" s="45"/>
    </row>
    <row r="623">
      <c r="G623" s="45"/>
    </row>
    <row r="624">
      <c r="G624" s="45"/>
    </row>
    <row r="625">
      <c r="G625" s="45"/>
    </row>
    <row r="626">
      <c r="G626" s="45"/>
    </row>
    <row r="627">
      <c r="G627" s="45"/>
    </row>
    <row r="628">
      <c r="G628" s="45"/>
    </row>
    <row r="629">
      <c r="G629" s="45"/>
    </row>
    <row r="630">
      <c r="G630" s="45"/>
    </row>
    <row r="631">
      <c r="G631" s="45"/>
    </row>
    <row r="632">
      <c r="G632" s="45"/>
    </row>
    <row r="633">
      <c r="G633" s="45"/>
    </row>
    <row r="634">
      <c r="G634" s="45"/>
    </row>
    <row r="635">
      <c r="G635" s="45"/>
    </row>
    <row r="636">
      <c r="G636" s="45"/>
    </row>
    <row r="637">
      <c r="G637" s="45"/>
    </row>
    <row r="638">
      <c r="G638" s="45"/>
    </row>
    <row r="639">
      <c r="G639" s="45"/>
    </row>
    <row r="640">
      <c r="G640" s="45"/>
    </row>
    <row r="641">
      <c r="G641" s="45"/>
    </row>
    <row r="642">
      <c r="G642" s="45"/>
    </row>
    <row r="643">
      <c r="G643" s="45"/>
    </row>
    <row r="644">
      <c r="G644" s="45"/>
    </row>
    <row r="645">
      <c r="G645" s="45"/>
    </row>
    <row r="646">
      <c r="G646" s="45"/>
    </row>
    <row r="647">
      <c r="G647" s="45"/>
    </row>
    <row r="648">
      <c r="G648" s="45"/>
    </row>
    <row r="649">
      <c r="G649" s="45"/>
    </row>
    <row r="650">
      <c r="G650" s="45"/>
    </row>
    <row r="651">
      <c r="G651" s="45"/>
    </row>
    <row r="652">
      <c r="G652" s="45"/>
    </row>
    <row r="653">
      <c r="G653" s="45"/>
    </row>
    <row r="654">
      <c r="G654" s="45"/>
    </row>
    <row r="655">
      <c r="G655" s="45"/>
    </row>
    <row r="656">
      <c r="G656" s="45"/>
    </row>
    <row r="657">
      <c r="G657" s="45"/>
    </row>
    <row r="658">
      <c r="G658" s="45"/>
    </row>
    <row r="659">
      <c r="G659" s="45"/>
    </row>
    <row r="660">
      <c r="G660" s="45"/>
    </row>
    <row r="661">
      <c r="G661" s="45"/>
    </row>
    <row r="662">
      <c r="G662" s="45"/>
    </row>
    <row r="663">
      <c r="G663" s="45"/>
    </row>
    <row r="664">
      <c r="G664" s="45"/>
    </row>
    <row r="665">
      <c r="G665" s="45"/>
    </row>
    <row r="666">
      <c r="G666" s="45"/>
    </row>
    <row r="667">
      <c r="G667" s="45"/>
    </row>
    <row r="668">
      <c r="G668" s="45"/>
    </row>
    <row r="669">
      <c r="G669" s="45"/>
    </row>
    <row r="670">
      <c r="G670" s="45"/>
    </row>
    <row r="671">
      <c r="G671" s="45"/>
    </row>
    <row r="672">
      <c r="G672" s="45"/>
    </row>
    <row r="673">
      <c r="G673" s="45"/>
    </row>
    <row r="674">
      <c r="G674" s="45"/>
    </row>
    <row r="675">
      <c r="G675" s="45"/>
    </row>
    <row r="676">
      <c r="G676" s="45"/>
    </row>
    <row r="677">
      <c r="G677" s="45"/>
    </row>
    <row r="678">
      <c r="G678" s="45"/>
    </row>
    <row r="679">
      <c r="G679" s="45"/>
    </row>
    <row r="680">
      <c r="G680" s="45"/>
    </row>
    <row r="681">
      <c r="G681" s="45"/>
    </row>
    <row r="682">
      <c r="G682" s="45"/>
    </row>
    <row r="683">
      <c r="G683" s="45"/>
    </row>
    <row r="684">
      <c r="G684" s="45"/>
    </row>
    <row r="685">
      <c r="G685" s="45"/>
    </row>
    <row r="686">
      <c r="G686" s="45"/>
    </row>
    <row r="687">
      <c r="G687" s="45"/>
    </row>
    <row r="688">
      <c r="G688" s="45"/>
    </row>
    <row r="689">
      <c r="G689" s="45"/>
    </row>
    <row r="690">
      <c r="G690" s="45"/>
    </row>
    <row r="691">
      <c r="G691" s="45"/>
    </row>
    <row r="692">
      <c r="G692" s="45"/>
    </row>
    <row r="693">
      <c r="G693" s="45"/>
    </row>
    <row r="694">
      <c r="G694" s="45"/>
    </row>
    <row r="695">
      <c r="G695" s="45"/>
    </row>
    <row r="696">
      <c r="G696" s="45"/>
    </row>
    <row r="697">
      <c r="G697" s="45"/>
    </row>
    <row r="698">
      <c r="G698" s="45"/>
    </row>
    <row r="699">
      <c r="G699" s="45"/>
    </row>
    <row r="700">
      <c r="G700" s="45"/>
    </row>
    <row r="701">
      <c r="G701" s="45"/>
    </row>
    <row r="702">
      <c r="G702" s="45"/>
    </row>
    <row r="703">
      <c r="G703" s="45"/>
    </row>
    <row r="704">
      <c r="G704" s="45"/>
    </row>
    <row r="705">
      <c r="G705" s="45"/>
    </row>
    <row r="706">
      <c r="G706" s="45"/>
    </row>
    <row r="707">
      <c r="G707" s="45"/>
    </row>
    <row r="708">
      <c r="G708" s="45"/>
    </row>
    <row r="709">
      <c r="G709" s="45"/>
    </row>
    <row r="710">
      <c r="G710" s="45"/>
    </row>
    <row r="711">
      <c r="G711" s="45"/>
    </row>
    <row r="712">
      <c r="G712" s="45"/>
    </row>
    <row r="713">
      <c r="G713" s="45"/>
    </row>
    <row r="714">
      <c r="G714" s="45"/>
    </row>
    <row r="715">
      <c r="G715" s="45"/>
    </row>
    <row r="716">
      <c r="G716" s="45"/>
    </row>
    <row r="717">
      <c r="G717" s="45"/>
    </row>
    <row r="718">
      <c r="G718" s="45"/>
    </row>
    <row r="719">
      <c r="G719" s="45"/>
    </row>
    <row r="720">
      <c r="G720" s="45"/>
    </row>
    <row r="721">
      <c r="G721" s="45"/>
    </row>
    <row r="722">
      <c r="G722" s="45"/>
    </row>
    <row r="723">
      <c r="G723" s="45"/>
    </row>
    <row r="724">
      <c r="G724" s="45"/>
    </row>
    <row r="725">
      <c r="G725" s="45"/>
    </row>
    <row r="726">
      <c r="G726" s="45"/>
    </row>
    <row r="727">
      <c r="G727" s="45"/>
    </row>
    <row r="728">
      <c r="G728" s="45"/>
    </row>
    <row r="729">
      <c r="G729" s="45"/>
    </row>
    <row r="730">
      <c r="G730" s="45"/>
    </row>
    <row r="731">
      <c r="G731" s="45"/>
    </row>
    <row r="732">
      <c r="G732" s="45"/>
    </row>
    <row r="733">
      <c r="G733" s="45"/>
    </row>
    <row r="734">
      <c r="G734" s="45"/>
    </row>
    <row r="735">
      <c r="G735" s="45"/>
    </row>
    <row r="736">
      <c r="G736" s="45"/>
    </row>
    <row r="737">
      <c r="G737" s="45"/>
    </row>
    <row r="738">
      <c r="G738" s="45"/>
    </row>
    <row r="739">
      <c r="G739" s="45"/>
    </row>
    <row r="740">
      <c r="G740" s="45"/>
    </row>
    <row r="741">
      <c r="G741" s="45"/>
    </row>
    <row r="742">
      <c r="G742" s="45"/>
    </row>
    <row r="743">
      <c r="G743" s="45"/>
    </row>
    <row r="744">
      <c r="G744" s="45"/>
    </row>
    <row r="745">
      <c r="G745" s="45"/>
    </row>
    <row r="746">
      <c r="G746" s="45"/>
    </row>
    <row r="747">
      <c r="G747" s="45"/>
    </row>
    <row r="748">
      <c r="G748" s="45"/>
    </row>
    <row r="749">
      <c r="G749" s="45"/>
    </row>
    <row r="750">
      <c r="G750" s="45"/>
    </row>
    <row r="751">
      <c r="G751" s="45"/>
    </row>
    <row r="752">
      <c r="G752" s="45"/>
    </row>
    <row r="753">
      <c r="G753" s="45"/>
    </row>
    <row r="754">
      <c r="G754" s="45"/>
    </row>
    <row r="755">
      <c r="G755" s="45"/>
    </row>
    <row r="756">
      <c r="G756" s="45"/>
    </row>
    <row r="757">
      <c r="G757" s="45"/>
    </row>
    <row r="758">
      <c r="G758" s="45"/>
    </row>
    <row r="759">
      <c r="G759" s="45"/>
    </row>
    <row r="760">
      <c r="G760" s="45"/>
    </row>
    <row r="761">
      <c r="G761" s="45"/>
    </row>
    <row r="762">
      <c r="G762" s="45"/>
    </row>
    <row r="763">
      <c r="G763" s="45"/>
    </row>
    <row r="764">
      <c r="G764" s="45"/>
    </row>
    <row r="765">
      <c r="G765" s="45"/>
    </row>
    <row r="766">
      <c r="G766" s="45"/>
    </row>
    <row r="767">
      <c r="G767" s="45"/>
    </row>
    <row r="768">
      <c r="G768" s="45"/>
    </row>
    <row r="769">
      <c r="G769" s="45"/>
    </row>
    <row r="770">
      <c r="G770" s="45"/>
    </row>
    <row r="771">
      <c r="G771" s="45"/>
    </row>
    <row r="772">
      <c r="G772" s="45"/>
    </row>
    <row r="773">
      <c r="G773" s="45"/>
    </row>
    <row r="774">
      <c r="G774" s="45"/>
    </row>
    <row r="775">
      <c r="G775" s="45"/>
    </row>
    <row r="776">
      <c r="G776" s="45"/>
    </row>
    <row r="777">
      <c r="G777" s="45"/>
    </row>
    <row r="778">
      <c r="G778" s="45"/>
    </row>
    <row r="779">
      <c r="G779" s="45"/>
    </row>
    <row r="780">
      <c r="G780" s="45"/>
    </row>
    <row r="781">
      <c r="G781" s="45"/>
    </row>
    <row r="782">
      <c r="G782" s="45"/>
    </row>
    <row r="783">
      <c r="G783" s="45"/>
    </row>
    <row r="784">
      <c r="G784" s="45"/>
    </row>
    <row r="785">
      <c r="G785" s="45"/>
    </row>
    <row r="786">
      <c r="G786" s="45"/>
    </row>
    <row r="787">
      <c r="G787" s="45"/>
    </row>
    <row r="788">
      <c r="G788" s="45"/>
    </row>
    <row r="789">
      <c r="G789" s="45"/>
    </row>
    <row r="790">
      <c r="G790" s="45"/>
    </row>
    <row r="791">
      <c r="G791" s="45"/>
    </row>
    <row r="792">
      <c r="G792" s="45"/>
    </row>
    <row r="793">
      <c r="G793" s="45"/>
    </row>
    <row r="794">
      <c r="G794" s="45"/>
    </row>
    <row r="795">
      <c r="G795" s="45"/>
    </row>
    <row r="796">
      <c r="G796" s="45"/>
    </row>
    <row r="797">
      <c r="G797" s="45"/>
    </row>
    <row r="798">
      <c r="G798" s="45"/>
    </row>
    <row r="799">
      <c r="G799" s="45"/>
    </row>
    <row r="800">
      <c r="G800" s="45"/>
    </row>
    <row r="801">
      <c r="G801" s="45"/>
    </row>
    <row r="802">
      <c r="G802" s="45"/>
    </row>
    <row r="803">
      <c r="G803" s="45"/>
    </row>
    <row r="804">
      <c r="G804" s="45"/>
    </row>
    <row r="805">
      <c r="G805" s="45"/>
    </row>
    <row r="806">
      <c r="G806" s="45"/>
    </row>
    <row r="807">
      <c r="G807" s="45"/>
    </row>
    <row r="808">
      <c r="G808" s="45"/>
    </row>
    <row r="809">
      <c r="G809" s="45"/>
    </row>
    <row r="810">
      <c r="G810" s="45"/>
    </row>
    <row r="811">
      <c r="G811" s="45"/>
    </row>
    <row r="812">
      <c r="G812" s="45"/>
    </row>
    <row r="813">
      <c r="G813" s="45"/>
    </row>
    <row r="814">
      <c r="G814" s="45"/>
    </row>
    <row r="815">
      <c r="G815" s="45"/>
    </row>
    <row r="816">
      <c r="G816" s="45"/>
    </row>
    <row r="817">
      <c r="G817" s="45"/>
    </row>
    <row r="818">
      <c r="G818" s="45"/>
    </row>
    <row r="819">
      <c r="G819" s="45"/>
    </row>
    <row r="820">
      <c r="G820" s="45"/>
    </row>
    <row r="821">
      <c r="G821" s="45"/>
    </row>
    <row r="822">
      <c r="G822" s="45"/>
    </row>
    <row r="823">
      <c r="G823" s="45"/>
    </row>
    <row r="824">
      <c r="G824" s="45"/>
    </row>
    <row r="825">
      <c r="G825" s="45"/>
    </row>
    <row r="826">
      <c r="G826" s="45"/>
    </row>
    <row r="827">
      <c r="G827" s="45"/>
    </row>
    <row r="828">
      <c r="G828" s="45"/>
    </row>
    <row r="829">
      <c r="G829" s="45"/>
    </row>
    <row r="830">
      <c r="G830" s="45"/>
    </row>
    <row r="831">
      <c r="G831" s="45"/>
    </row>
    <row r="832">
      <c r="G832" s="45"/>
    </row>
    <row r="833">
      <c r="G833" s="45"/>
    </row>
    <row r="834">
      <c r="G834" s="45"/>
    </row>
    <row r="835">
      <c r="G835" s="45"/>
    </row>
    <row r="836">
      <c r="G836" s="45"/>
    </row>
    <row r="837">
      <c r="G837" s="45"/>
    </row>
    <row r="838">
      <c r="G838" s="45"/>
    </row>
    <row r="839">
      <c r="G839" s="45"/>
    </row>
    <row r="840">
      <c r="G840" s="45"/>
    </row>
    <row r="841">
      <c r="G841" s="45"/>
    </row>
    <row r="842">
      <c r="G842" s="45"/>
    </row>
    <row r="843">
      <c r="G843" s="45"/>
    </row>
    <row r="844">
      <c r="G844" s="45"/>
    </row>
    <row r="845">
      <c r="G845" s="45"/>
    </row>
    <row r="846">
      <c r="G846" s="45"/>
    </row>
    <row r="847">
      <c r="G847" s="45"/>
    </row>
    <row r="848">
      <c r="G848" s="45"/>
    </row>
    <row r="849">
      <c r="G849" s="45"/>
    </row>
    <row r="850">
      <c r="G850" s="45"/>
    </row>
    <row r="851">
      <c r="G851" s="45"/>
    </row>
    <row r="852">
      <c r="G852" s="45"/>
    </row>
    <row r="853">
      <c r="G853" s="45"/>
    </row>
    <row r="854">
      <c r="G854" s="45"/>
    </row>
    <row r="855">
      <c r="G855" s="45"/>
    </row>
    <row r="856">
      <c r="G856" s="45"/>
    </row>
    <row r="857">
      <c r="G857" s="45"/>
    </row>
    <row r="858">
      <c r="G858" s="45"/>
    </row>
    <row r="859">
      <c r="G859" s="45"/>
    </row>
    <row r="860">
      <c r="G860" s="45"/>
    </row>
    <row r="861">
      <c r="G861" s="45"/>
    </row>
    <row r="862">
      <c r="G862" s="45"/>
    </row>
    <row r="863">
      <c r="G863" s="45"/>
    </row>
    <row r="864">
      <c r="G864" s="45"/>
    </row>
    <row r="865">
      <c r="G865" s="45"/>
    </row>
    <row r="866">
      <c r="G866" s="45"/>
    </row>
    <row r="867">
      <c r="G867" s="45"/>
    </row>
    <row r="868">
      <c r="G868" s="45"/>
    </row>
    <row r="869">
      <c r="G869" s="45"/>
    </row>
    <row r="870">
      <c r="G870" s="45"/>
    </row>
    <row r="871">
      <c r="G871" s="45"/>
    </row>
    <row r="872">
      <c r="G872" s="45"/>
    </row>
    <row r="873">
      <c r="G873" s="45"/>
    </row>
    <row r="874">
      <c r="G874" s="45"/>
    </row>
    <row r="875">
      <c r="G875" s="45"/>
    </row>
    <row r="876">
      <c r="G876" s="45"/>
    </row>
    <row r="877">
      <c r="G877" s="45"/>
    </row>
    <row r="878">
      <c r="G878" s="45"/>
    </row>
    <row r="879">
      <c r="G879" s="45"/>
    </row>
    <row r="880">
      <c r="G880" s="45"/>
    </row>
    <row r="881">
      <c r="G881" s="45"/>
    </row>
    <row r="882">
      <c r="G882" s="45"/>
    </row>
    <row r="883">
      <c r="G883" s="45"/>
    </row>
    <row r="884">
      <c r="G884" s="45"/>
    </row>
    <row r="885">
      <c r="G885" s="45"/>
    </row>
    <row r="886">
      <c r="G886" s="45"/>
    </row>
    <row r="887">
      <c r="G887" s="45"/>
    </row>
    <row r="888">
      <c r="G888" s="45"/>
    </row>
    <row r="889">
      <c r="G889" s="45"/>
    </row>
    <row r="890">
      <c r="G890" s="45"/>
    </row>
    <row r="891">
      <c r="G891" s="45"/>
    </row>
    <row r="892">
      <c r="G892" s="45"/>
    </row>
    <row r="893">
      <c r="G893" s="45"/>
    </row>
    <row r="894">
      <c r="G894" s="45"/>
    </row>
    <row r="895">
      <c r="G895" s="45"/>
    </row>
    <row r="896">
      <c r="G896" s="45"/>
    </row>
    <row r="897">
      <c r="G897" s="45"/>
    </row>
    <row r="898">
      <c r="G898" s="45"/>
    </row>
    <row r="899">
      <c r="G899" s="45"/>
    </row>
    <row r="900">
      <c r="G900" s="45"/>
    </row>
    <row r="901">
      <c r="G901" s="45"/>
    </row>
    <row r="902">
      <c r="G902" s="45"/>
    </row>
    <row r="903">
      <c r="G903" s="45"/>
    </row>
    <row r="904">
      <c r="G904" s="45"/>
    </row>
    <row r="905">
      <c r="G905" s="45"/>
    </row>
    <row r="906">
      <c r="G906" s="45"/>
    </row>
    <row r="907">
      <c r="G907" s="45"/>
    </row>
    <row r="908">
      <c r="G908" s="45"/>
    </row>
    <row r="909">
      <c r="G909" s="45"/>
    </row>
    <row r="910">
      <c r="G910" s="45"/>
    </row>
    <row r="911">
      <c r="G911" s="45"/>
    </row>
    <row r="912">
      <c r="G912" s="45"/>
    </row>
    <row r="913">
      <c r="G913" s="45"/>
    </row>
    <row r="914">
      <c r="G914" s="45"/>
    </row>
    <row r="915">
      <c r="G915" s="45"/>
    </row>
    <row r="916">
      <c r="G916" s="45"/>
    </row>
    <row r="917">
      <c r="G917" s="45"/>
    </row>
    <row r="918">
      <c r="G918" s="45"/>
    </row>
    <row r="919">
      <c r="G919" s="45"/>
    </row>
    <row r="920">
      <c r="G920" s="45"/>
    </row>
    <row r="921">
      <c r="G921" s="45"/>
    </row>
    <row r="922">
      <c r="G922" s="45"/>
    </row>
    <row r="923">
      <c r="G923" s="45"/>
    </row>
    <row r="924">
      <c r="G924" s="45"/>
    </row>
    <row r="925">
      <c r="G925" s="45"/>
    </row>
    <row r="926">
      <c r="G926" s="45"/>
    </row>
  </sheetData>
  <dataValidations>
    <dataValidation type="list" allowBlank="1" sqref="F3:F46 F48">
      <formula1>"OPEN,BLOCKED,PASSED,FAILED"</formula1>
    </dataValidation>
    <dataValidation type="list" allowBlank="1" sqref="F47 F49:F65">
      <formula1>"OPEN,BLOCKED,PASSED,FAILED,REQUEST"</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4.75"/>
    <col customWidth="1" min="2" max="2" width="53.38"/>
    <col customWidth="1" min="3" max="3" width="50.13"/>
    <col customWidth="1" min="4" max="4" width="48.38"/>
    <col customWidth="1" min="5" max="5" width="56.63"/>
    <col customWidth="1" min="6" max="6" width="21.63"/>
    <col customWidth="1" min="7" max="7" width="22.75"/>
  </cols>
  <sheetData>
    <row r="1">
      <c r="A1" s="47" t="s">
        <v>40</v>
      </c>
      <c r="B1" s="97" t="s">
        <v>650</v>
      </c>
      <c r="C1" s="49"/>
      <c r="D1" s="49"/>
      <c r="E1" s="49"/>
      <c r="F1" s="47"/>
      <c r="G1" s="47"/>
    </row>
    <row r="2">
      <c r="A2" s="51" t="s">
        <v>14</v>
      </c>
      <c r="B2" s="51" t="s">
        <v>16</v>
      </c>
      <c r="C2" s="52" t="s">
        <v>18</v>
      </c>
      <c r="D2" s="52" t="s">
        <v>20</v>
      </c>
      <c r="E2" s="52" t="s">
        <v>219</v>
      </c>
      <c r="F2" s="51" t="s">
        <v>24</v>
      </c>
      <c r="G2" s="51" t="s">
        <v>26</v>
      </c>
    </row>
    <row r="3">
      <c r="A3" s="99" t="str">
        <f t="shared" ref="A3:A62" si="1">IF(B1&lt;&gt;"", "US-11-TC-" &amp; TEXT(COUNTA($B$3:B3), "00"), "")
</f>
        <v>US-11-TC-01</v>
      </c>
      <c r="B3" s="99" t="s">
        <v>651</v>
      </c>
      <c r="C3" s="100" t="s">
        <v>331</v>
      </c>
      <c r="D3" s="100" t="s">
        <v>332</v>
      </c>
      <c r="E3" s="101" t="s">
        <v>333</v>
      </c>
      <c r="F3" s="53" t="s">
        <v>53</v>
      </c>
      <c r="G3" s="99"/>
    </row>
    <row r="4">
      <c r="A4" s="99" t="str">
        <f t="shared" si="1"/>
        <v>US-11-TC-02</v>
      </c>
      <c r="B4" s="99" t="s">
        <v>334</v>
      </c>
      <c r="C4" s="100" t="s">
        <v>331</v>
      </c>
      <c r="D4" s="100" t="s">
        <v>332</v>
      </c>
      <c r="E4" s="101" t="s">
        <v>333</v>
      </c>
      <c r="F4" s="53" t="s">
        <v>53</v>
      </c>
      <c r="G4" s="99"/>
    </row>
    <row r="5">
      <c r="A5" s="99" t="str">
        <f t="shared" si="1"/>
        <v>US-11-TC-03</v>
      </c>
      <c r="B5" s="99" t="s">
        <v>335</v>
      </c>
      <c r="C5" s="100" t="s">
        <v>331</v>
      </c>
      <c r="D5" s="100" t="s">
        <v>332</v>
      </c>
      <c r="E5" s="101" t="s">
        <v>333</v>
      </c>
      <c r="F5" s="53" t="s">
        <v>53</v>
      </c>
      <c r="G5" s="115"/>
    </row>
    <row r="6">
      <c r="A6" s="99" t="str">
        <f t="shared" si="1"/>
        <v>US-11-TC-04</v>
      </c>
      <c r="B6" s="99" t="s">
        <v>336</v>
      </c>
      <c r="C6" s="100" t="s">
        <v>331</v>
      </c>
      <c r="D6" s="100" t="s">
        <v>332</v>
      </c>
      <c r="E6" s="101" t="s">
        <v>337</v>
      </c>
      <c r="F6" s="53" t="s">
        <v>53</v>
      </c>
      <c r="G6" s="115"/>
    </row>
    <row r="7">
      <c r="A7" s="99" t="str">
        <f t="shared" si="1"/>
        <v>US-11-TC-05</v>
      </c>
      <c r="B7" s="99" t="s">
        <v>338</v>
      </c>
      <c r="C7" s="100" t="s">
        <v>331</v>
      </c>
      <c r="D7" s="100" t="s">
        <v>332</v>
      </c>
      <c r="E7" s="101" t="s">
        <v>339</v>
      </c>
      <c r="F7" s="53" t="s">
        <v>53</v>
      </c>
      <c r="G7" s="115"/>
    </row>
    <row r="8">
      <c r="A8" s="99" t="str">
        <f t="shared" si="1"/>
        <v>US-11-TC-06</v>
      </c>
      <c r="B8" s="99" t="s">
        <v>340</v>
      </c>
      <c r="C8" s="100" t="s">
        <v>331</v>
      </c>
      <c r="D8" s="100" t="s">
        <v>332</v>
      </c>
      <c r="E8" s="101" t="s">
        <v>341</v>
      </c>
      <c r="F8" s="53" t="s">
        <v>53</v>
      </c>
      <c r="G8" s="115"/>
    </row>
    <row r="9">
      <c r="A9" s="99" t="str">
        <f t="shared" si="1"/>
        <v>US-11-TC-07</v>
      </c>
      <c r="B9" s="99" t="s">
        <v>342</v>
      </c>
      <c r="C9" s="100" t="s">
        <v>331</v>
      </c>
      <c r="D9" s="100" t="s">
        <v>332</v>
      </c>
      <c r="E9" s="101" t="s">
        <v>343</v>
      </c>
      <c r="F9" s="53" t="s">
        <v>53</v>
      </c>
      <c r="G9" s="115"/>
    </row>
    <row r="10">
      <c r="A10" s="99" t="str">
        <f t="shared" si="1"/>
        <v>US-11-TC-08</v>
      </c>
      <c r="B10" s="103" t="s">
        <v>344</v>
      </c>
      <c r="C10" s="100" t="s">
        <v>331</v>
      </c>
      <c r="D10" s="100" t="s">
        <v>332</v>
      </c>
      <c r="E10" s="101" t="s">
        <v>345</v>
      </c>
      <c r="F10" s="53" t="s">
        <v>53</v>
      </c>
      <c r="G10" s="115"/>
    </row>
    <row r="11">
      <c r="A11" s="99" t="str">
        <f t="shared" si="1"/>
        <v>US-11-TC-09</v>
      </c>
      <c r="B11" s="99" t="s">
        <v>346</v>
      </c>
      <c r="C11" s="100" t="s">
        <v>331</v>
      </c>
      <c r="D11" s="100" t="s">
        <v>332</v>
      </c>
      <c r="E11" s="101" t="s">
        <v>347</v>
      </c>
      <c r="F11" s="53" t="s">
        <v>53</v>
      </c>
      <c r="G11" s="115"/>
    </row>
    <row r="12">
      <c r="A12" s="99" t="str">
        <f t="shared" si="1"/>
        <v>US-11-TC-10</v>
      </c>
      <c r="B12" s="99" t="s">
        <v>348</v>
      </c>
      <c r="C12" s="100" t="s">
        <v>331</v>
      </c>
      <c r="D12" s="100" t="s">
        <v>332</v>
      </c>
      <c r="E12" s="101" t="s">
        <v>349</v>
      </c>
      <c r="F12" s="53" t="s">
        <v>53</v>
      </c>
      <c r="G12" s="99" t="s">
        <v>73</v>
      </c>
    </row>
    <row r="13">
      <c r="A13" s="99" t="str">
        <f t="shared" si="1"/>
        <v>US-11-TC-11</v>
      </c>
      <c r="B13" s="99" t="s">
        <v>350</v>
      </c>
      <c r="C13" s="100" t="s">
        <v>331</v>
      </c>
      <c r="D13" s="100" t="s">
        <v>351</v>
      </c>
      <c r="E13" s="101" t="s">
        <v>352</v>
      </c>
      <c r="F13" s="53" t="s">
        <v>53</v>
      </c>
      <c r="G13" s="115"/>
    </row>
    <row r="14">
      <c r="A14" s="99" t="str">
        <f t="shared" si="1"/>
        <v>US-11-TC-12</v>
      </c>
      <c r="B14" s="99" t="s">
        <v>354</v>
      </c>
      <c r="C14" s="100" t="s">
        <v>331</v>
      </c>
      <c r="D14" s="100" t="s">
        <v>355</v>
      </c>
      <c r="E14" s="101" t="s">
        <v>356</v>
      </c>
      <c r="F14" s="53" t="s">
        <v>53</v>
      </c>
      <c r="G14" s="115"/>
    </row>
    <row r="15">
      <c r="A15" s="99" t="str">
        <f t="shared" si="1"/>
        <v>US-11-TC-13</v>
      </c>
      <c r="B15" s="99" t="s">
        <v>357</v>
      </c>
      <c r="C15" s="100" t="s">
        <v>331</v>
      </c>
      <c r="D15" s="100" t="s">
        <v>358</v>
      </c>
      <c r="E15" s="101" t="s">
        <v>359</v>
      </c>
      <c r="F15" s="53" t="s">
        <v>53</v>
      </c>
      <c r="G15" s="115"/>
    </row>
    <row r="16">
      <c r="A16" s="99" t="str">
        <f t="shared" si="1"/>
        <v>US-11-TC-14</v>
      </c>
      <c r="B16" s="99" t="s">
        <v>360</v>
      </c>
      <c r="C16" s="100" t="s">
        <v>331</v>
      </c>
      <c r="D16" s="100" t="s">
        <v>361</v>
      </c>
      <c r="E16" s="101" t="s">
        <v>362</v>
      </c>
      <c r="F16" s="53" t="s">
        <v>53</v>
      </c>
      <c r="G16" s="115"/>
    </row>
    <row r="17">
      <c r="A17" s="99" t="str">
        <f t="shared" si="1"/>
        <v>US-11-TC-15</v>
      </c>
      <c r="B17" s="99" t="s">
        <v>364</v>
      </c>
      <c r="C17" s="100" t="s">
        <v>331</v>
      </c>
      <c r="D17" s="100" t="s">
        <v>365</v>
      </c>
      <c r="E17" s="101" t="s">
        <v>366</v>
      </c>
      <c r="F17" s="53" t="s">
        <v>53</v>
      </c>
      <c r="G17" s="115"/>
    </row>
    <row r="18">
      <c r="A18" s="99" t="str">
        <f t="shared" si="1"/>
        <v>US-11-TC-16</v>
      </c>
      <c r="B18" s="99" t="s">
        <v>367</v>
      </c>
      <c r="C18" s="100" t="s">
        <v>331</v>
      </c>
      <c r="D18" s="100" t="s">
        <v>368</v>
      </c>
      <c r="E18" s="101" t="s">
        <v>369</v>
      </c>
      <c r="F18" s="53" t="s">
        <v>53</v>
      </c>
      <c r="G18" s="115"/>
    </row>
    <row r="19">
      <c r="A19" s="99" t="str">
        <f t="shared" si="1"/>
        <v>US-11-TC-17</v>
      </c>
      <c r="B19" s="99" t="s">
        <v>370</v>
      </c>
      <c r="C19" s="100" t="s">
        <v>331</v>
      </c>
      <c r="D19" s="100" t="s">
        <v>371</v>
      </c>
      <c r="E19" s="101" t="s">
        <v>372</v>
      </c>
      <c r="F19" s="53" t="s">
        <v>53</v>
      </c>
      <c r="G19" s="115"/>
    </row>
    <row r="20">
      <c r="A20" s="99" t="str">
        <f t="shared" si="1"/>
        <v>US-11-TC-18</v>
      </c>
      <c r="B20" s="103" t="s">
        <v>374</v>
      </c>
      <c r="C20" s="100" t="s">
        <v>331</v>
      </c>
      <c r="D20" s="100" t="s">
        <v>375</v>
      </c>
      <c r="E20" s="101" t="s">
        <v>376</v>
      </c>
      <c r="F20" s="53" t="s">
        <v>53</v>
      </c>
      <c r="G20" s="115"/>
    </row>
    <row r="21">
      <c r="A21" s="99" t="str">
        <f t="shared" si="1"/>
        <v>US-11-TC-19</v>
      </c>
      <c r="B21" s="99" t="s">
        <v>378</v>
      </c>
      <c r="C21" s="100" t="s">
        <v>331</v>
      </c>
      <c r="D21" s="100" t="s">
        <v>379</v>
      </c>
      <c r="E21" s="101" t="s">
        <v>380</v>
      </c>
      <c r="F21" s="53" t="s">
        <v>53</v>
      </c>
      <c r="G21" s="115"/>
    </row>
    <row r="22">
      <c r="A22" s="99" t="str">
        <f t="shared" si="1"/>
        <v>US-11-TC-20</v>
      </c>
      <c r="B22" s="99" t="s">
        <v>382</v>
      </c>
      <c r="C22" s="100" t="s">
        <v>331</v>
      </c>
      <c r="D22" s="100" t="s">
        <v>383</v>
      </c>
      <c r="E22" s="101" t="s">
        <v>384</v>
      </c>
      <c r="F22" s="53" t="s">
        <v>53</v>
      </c>
      <c r="G22" s="115"/>
    </row>
    <row r="23">
      <c r="A23" s="99" t="str">
        <f t="shared" si="1"/>
        <v>US-11-TC-21</v>
      </c>
      <c r="B23" s="99" t="s">
        <v>385</v>
      </c>
      <c r="C23" s="100" t="s">
        <v>331</v>
      </c>
      <c r="D23" s="100" t="s">
        <v>386</v>
      </c>
      <c r="E23" s="101" t="s">
        <v>387</v>
      </c>
      <c r="F23" s="53" t="s">
        <v>53</v>
      </c>
      <c r="G23" s="115"/>
    </row>
    <row r="24">
      <c r="A24" s="99" t="str">
        <f t="shared" si="1"/>
        <v>US-11-TC-22</v>
      </c>
      <c r="B24" s="104" t="s">
        <v>388</v>
      </c>
      <c r="C24" s="105" t="s">
        <v>331</v>
      </c>
      <c r="D24" s="105" t="s">
        <v>389</v>
      </c>
      <c r="E24" s="104" t="s">
        <v>390</v>
      </c>
      <c r="F24" s="53" t="s">
        <v>53</v>
      </c>
      <c r="G24" s="116"/>
    </row>
    <row r="25">
      <c r="A25" s="99" t="str">
        <f t="shared" si="1"/>
        <v>US-11-TC-23</v>
      </c>
      <c r="B25" s="107" t="s">
        <v>392</v>
      </c>
      <c r="C25" s="108" t="s">
        <v>331</v>
      </c>
      <c r="D25" s="108" t="s">
        <v>393</v>
      </c>
      <c r="E25" s="107" t="s">
        <v>394</v>
      </c>
      <c r="F25" s="53" t="s">
        <v>53</v>
      </c>
      <c r="G25" s="117"/>
    </row>
    <row r="26">
      <c r="A26" s="99" t="str">
        <f t="shared" si="1"/>
        <v>US-11-TC-24</v>
      </c>
      <c r="B26" s="110" t="s">
        <v>614</v>
      </c>
      <c r="C26" s="105" t="s">
        <v>331</v>
      </c>
      <c r="D26" s="105" t="s">
        <v>397</v>
      </c>
      <c r="E26" s="104" t="s">
        <v>398</v>
      </c>
      <c r="F26" s="53" t="s">
        <v>53</v>
      </c>
      <c r="G26" s="116"/>
    </row>
    <row r="27">
      <c r="A27" s="99" t="str">
        <f t="shared" si="1"/>
        <v>US-11-TC-25</v>
      </c>
      <c r="B27" s="107" t="s">
        <v>399</v>
      </c>
      <c r="C27" s="108" t="s">
        <v>331</v>
      </c>
      <c r="D27" s="108" t="s">
        <v>400</v>
      </c>
      <c r="E27" s="107" t="s">
        <v>401</v>
      </c>
      <c r="F27" s="53" t="s">
        <v>53</v>
      </c>
      <c r="G27" s="117"/>
    </row>
    <row r="28">
      <c r="A28" s="99" t="str">
        <f t="shared" si="1"/>
        <v>US-11-TC-26</v>
      </c>
      <c r="B28" s="104" t="s">
        <v>402</v>
      </c>
      <c r="C28" s="105" t="s">
        <v>331</v>
      </c>
      <c r="D28" s="105" t="s">
        <v>403</v>
      </c>
      <c r="E28" s="104" t="s">
        <v>404</v>
      </c>
      <c r="F28" s="53" t="s">
        <v>53</v>
      </c>
      <c r="G28" s="116"/>
    </row>
    <row r="29">
      <c r="A29" s="99" t="str">
        <f t="shared" si="1"/>
        <v>US-11-TC-27</v>
      </c>
      <c r="B29" s="110" t="s">
        <v>615</v>
      </c>
      <c r="C29" s="105" t="s">
        <v>331</v>
      </c>
      <c r="D29" s="105"/>
      <c r="E29" s="104"/>
      <c r="F29" s="53" t="s">
        <v>53</v>
      </c>
      <c r="G29" s="116"/>
    </row>
    <row r="30">
      <c r="A30" s="99" t="str">
        <f t="shared" si="1"/>
        <v>US-11-TC-28</v>
      </c>
      <c r="B30" s="107" t="s">
        <v>405</v>
      </c>
      <c r="C30" s="108" t="s">
        <v>331</v>
      </c>
      <c r="D30" s="107" t="s">
        <v>406</v>
      </c>
      <c r="E30" s="107" t="s">
        <v>407</v>
      </c>
      <c r="F30" s="53" t="s">
        <v>53</v>
      </c>
      <c r="G30" s="117"/>
    </row>
    <row r="31">
      <c r="A31" s="99" t="str">
        <f t="shared" si="1"/>
        <v>US-11-TC-29</v>
      </c>
      <c r="B31" s="104" t="s">
        <v>410</v>
      </c>
      <c r="C31" s="105" t="s">
        <v>331</v>
      </c>
      <c r="D31" s="107" t="s">
        <v>411</v>
      </c>
      <c r="E31" s="104" t="s">
        <v>412</v>
      </c>
      <c r="F31" s="53" t="s">
        <v>53</v>
      </c>
      <c r="G31" s="116"/>
    </row>
    <row r="32">
      <c r="A32" s="99" t="str">
        <f t="shared" si="1"/>
        <v>US-11-TC-30</v>
      </c>
      <c r="B32" s="99" t="s">
        <v>413</v>
      </c>
      <c r="C32" s="100" t="s">
        <v>331</v>
      </c>
      <c r="D32" s="111" t="s">
        <v>414</v>
      </c>
      <c r="E32" s="101" t="s">
        <v>415</v>
      </c>
      <c r="F32" s="53" t="s">
        <v>53</v>
      </c>
      <c r="G32" s="115"/>
    </row>
    <row r="33">
      <c r="A33" s="99" t="str">
        <f t="shared" si="1"/>
        <v>US-11-TC-31</v>
      </c>
      <c r="B33" s="99" t="s">
        <v>416</v>
      </c>
      <c r="C33" s="100" t="s">
        <v>331</v>
      </c>
      <c r="D33" s="111" t="s">
        <v>508</v>
      </c>
      <c r="E33" s="101" t="s">
        <v>501</v>
      </c>
      <c r="F33" s="53" t="s">
        <v>53</v>
      </c>
      <c r="G33" s="115"/>
    </row>
    <row r="34">
      <c r="A34" s="99" t="str">
        <f t="shared" si="1"/>
        <v>US-11-TC-32</v>
      </c>
      <c r="B34" s="99" t="s">
        <v>419</v>
      </c>
      <c r="C34" s="100" t="s">
        <v>331</v>
      </c>
      <c r="D34" s="111" t="s">
        <v>508</v>
      </c>
      <c r="E34" s="101" t="s">
        <v>502</v>
      </c>
      <c r="F34" s="53" t="s">
        <v>53</v>
      </c>
      <c r="G34" s="115"/>
    </row>
    <row r="35">
      <c r="A35" s="99" t="str">
        <f t="shared" si="1"/>
        <v>US-11-TC-33</v>
      </c>
      <c r="B35" s="99" t="s">
        <v>422</v>
      </c>
      <c r="C35" s="100" t="s">
        <v>331</v>
      </c>
      <c r="D35" s="111" t="s">
        <v>508</v>
      </c>
      <c r="E35" s="101" t="s">
        <v>423</v>
      </c>
      <c r="F35" s="53" t="s">
        <v>53</v>
      </c>
      <c r="G35" s="115"/>
    </row>
    <row r="36">
      <c r="A36" s="99" t="str">
        <f t="shared" si="1"/>
        <v>US-11-TC-34</v>
      </c>
      <c r="B36" s="53" t="s">
        <v>529</v>
      </c>
      <c r="C36" s="54" t="s">
        <v>331</v>
      </c>
      <c r="D36" s="62" t="s">
        <v>508</v>
      </c>
      <c r="E36" s="55" t="s">
        <v>530</v>
      </c>
      <c r="F36" s="53" t="s">
        <v>53</v>
      </c>
      <c r="G36" s="118"/>
    </row>
    <row r="37">
      <c r="A37" s="99" t="str">
        <f t="shared" si="1"/>
        <v>US-11-TC-35</v>
      </c>
      <c r="B37" s="53" t="s">
        <v>531</v>
      </c>
      <c r="C37" s="54" t="s">
        <v>331</v>
      </c>
      <c r="D37" s="62" t="s">
        <v>508</v>
      </c>
      <c r="E37" s="55" t="s">
        <v>532</v>
      </c>
      <c r="F37" s="53" t="s">
        <v>53</v>
      </c>
      <c r="G37" s="118"/>
    </row>
    <row r="38">
      <c r="A38" s="99" t="str">
        <f t="shared" si="1"/>
        <v>US-11-TC-36</v>
      </c>
      <c r="B38" s="53" t="s">
        <v>536</v>
      </c>
      <c r="C38" s="54" t="s">
        <v>331</v>
      </c>
      <c r="D38" s="62" t="s">
        <v>508</v>
      </c>
      <c r="E38" s="55" t="s">
        <v>509</v>
      </c>
      <c r="F38" s="53" t="s">
        <v>53</v>
      </c>
      <c r="G38" s="118"/>
    </row>
    <row r="39">
      <c r="A39" s="99" t="str">
        <f t="shared" si="1"/>
        <v>US-11-TC-37</v>
      </c>
      <c r="B39" s="64" t="s">
        <v>537</v>
      </c>
      <c r="C39" s="54" t="s">
        <v>331</v>
      </c>
      <c r="D39" s="62" t="s">
        <v>508</v>
      </c>
      <c r="E39" s="55" t="s">
        <v>538</v>
      </c>
      <c r="F39" s="53" t="s">
        <v>53</v>
      </c>
      <c r="G39" s="118"/>
    </row>
    <row r="40">
      <c r="A40" s="99" t="str">
        <f t="shared" si="1"/>
        <v>US-11-TC-38</v>
      </c>
      <c r="B40" s="53" t="s">
        <v>539</v>
      </c>
      <c r="C40" s="54" t="s">
        <v>331</v>
      </c>
      <c r="D40" s="62" t="s">
        <v>508</v>
      </c>
      <c r="E40" s="55" t="s">
        <v>540</v>
      </c>
      <c r="F40" s="53" t="s">
        <v>53</v>
      </c>
      <c r="G40" s="118"/>
    </row>
    <row r="41">
      <c r="A41" s="99" t="str">
        <f t="shared" si="1"/>
        <v>US-11-TC-39</v>
      </c>
      <c r="B41" s="53" t="s">
        <v>544</v>
      </c>
      <c r="C41" s="54" t="s">
        <v>331</v>
      </c>
      <c r="D41" s="62" t="s">
        <v>508</v>
      </c>
      <c r="E41" s="55" t="s">
        <v>509</v>
      </c>
      <c r="F41" s="53" t="s">
        <v>53</v>
      </c>
      <c r="G41" s="118"/>
    </row>
    <row r="42">
      <c r="A42" s="99" t="str">
        <f t="shared" si="1"/>
        <v>US-11-TC-40</v>
      </c>
      <c r="B42" s="53" t="s">
        <v>545</v>
      </c>
      <c r="C42" s="54" t="s">
        <v>331</v>
      </c>
      <c r="D42" s="62" t="s">
        <v>508</v>
      </c>
      <c r="E42" s="55" t="s">
        <v>546</v>
      </c>
      <c r="F42" s="53" t="s">
        <v>53</v>
      </c>
      <c r="G42" s="118"/>
    </row>
    <row r="43">
      <c r="A43" s="99" t="str">
        <f t="shared" si="1"/>
        <v>US-11-TC-41</v>
      </c>
      <c r="B43" s="53" t="s">
        <v>547</v>
      </c>
      <c r="C43" s="54" t="s">
        <v>331</v>
      </c>
      <c r="D43" s="62" t="s">
        <v>508</v>
      </c>
      <c r="E43" s="55" t="s">
        <v>548</v>
      </c>
      <c r="F43" s="53" t="s">
        <v>53</v>
      </c>
      <c r="G43" s="118"/>
    </row>
    <row r="44">
      <c r="A44" s="99" t="str">
        <f t="shared" si="1"/>
        <v>US-11-TC-42</v>
      </c>
      <c r="B44" s="53" t="s">
        <v>549</v>
      </c>
      <c r="C44" s="54" t="s">
        <v>331</v>
      </c>
      <c r="D44" s="62" t="s">
        <v>508</v>
      </c>
      <c r="E44" s="55" t="s">
        <v>509</v>
      </c>
      <c r="F44" s="53" t="s">
        <v>53</v>
      </c>
      <c r="G44" s="118"/>
    </row>
    <row r="45">
      <c r="A45" s="99" t="str">
        <f t="shared" si="1"/>
        <v>US-11-TC-43</v>
      </c>
      <c r="B45" s="53" t="s">
        <v>550</v>
      </c>
      <c r="C45" s="54" t="s">
        <v>331</v>
      </c>
      <c r="D45" s="62" t="s">
        <v>508</v>
      </c>
      <c r="E45" s="55" t="s">
        <v>551</v>
      </c>
      <c r="F45" s="53" t="s">
        <v>53</v>
      </c>
      <c r="G45" s="118"/>
    </row>
    <row r="46">
      <c r="A46" s="99" t="str">
        <f t="shared" si="1"/>
        <v>US-11-TC-44</v>
      </c>
      <c r="B46" s="53" t="s">
        <v>552</v>
      </c>
      <c r="C46" s="54" t="s">
        <v>331</v>
      </c>
      <c r="D46" s="62" t="s">
        <v>508</v>
      </c>
      <c r="E46" s="55" t="s">
        <v>553</v>
      </c>
      <c r="F46" s="53" t="s">
        <v>53</v>
      </c>
      <c r="G46" s="118"/>
    </row>
    <row r="47">
      <c r="A47" s="99" t="str">
        <f t="shared" si="1"/>
        <v>US-11-TC-45</v>
      </c>
      <c r="B47" s="53" t="s">
        <v>413</v>
      </c>
      <c r="C47" s="54" t="s">
        <v>331</v>
      </c>
      <c r="D47" s="62" t="s">
        <v>508</v>
      </c>
      <c r="E47" s="55" t="s">
        <v>415</v>
      </c>
      <c r="F47" s="53" t="s">
        <v>53</v>
      </c>
      <c r="G47" s="118"/>
    </row>
    <row r="48">
      <c r="A48" s="99" t="str">
        <f t="shared" si="1"/>
        <v>US-11-TC-46</v>
      </c>
      <c r="B48" s="53" t="s">
        <v>416</v>
      </c>
      <c r="C48" s="54" t="s">
        <v>331</v>
      </c>
      <c r="D48" s="62" t="s">
        <v>508</v>
      </c>
      <c r="E48" s="55" t="s">
        <v>501</v>
      </c>
      <c r="F48" s="53" t="s">
        <v>53</v>
      </c>
      <c r="G48" s="118"/>
    </row>
    <row r="49">
      <c r="A49" s="99" t="str">
        <f t="shared" si="1"/>
        <v>US-11-TC-47</v>
      </c>
      <c r="B49" s="53" t="s">
        <v>419</v>
      </c>
      <c r="C49" s="54" t="s">
        <v>331</v>
      </c>
      <c r="D49" s="62" t="s">
        <v>508</v>
      </c>
      <c r="E49" s="55" t="s">
        <v>502</v>
      </c>
      <c r="F49" s="53" t="s">
        <v>53</v>
      </c>
      <c r="G49" s="118"/>
    </row>
    <row r="50">
      <c r="A50" s="99" t="str">
        <f t="shared" si="1"/>
        <v>US-11-TC-48</v>
      </c>
      <c r="B50" s="53" t="s">
        <v>422</v>
      </c>
      <c r="C50" s="54" t="s">
        <v>331</v>
      </c>
      <c r="D50" s="62" t="s">
        <v>508</v>
      </c>
      <c r="E50" s="55" t="s">
        <v>423</v>
      </c>
      <c r="F50" s="53" t="s">
        <v>53</v>
      </c>
      <c r="G50" s="118"/>
    </row>
    <row r="51">
      <c r="A51" s="99" t="str">
        <f t="shared" si="1"/>
        <v>US-11-TC-49</v>
      </c>
      <c r="B51" s="70" t="s">
        <v>652</v>
      </c>
      <c r="C51" s="54" t="s">
        <v>331</v>
      </c>
      <c r="D51" s="70" t="s">
        <v>425</v>
      </c>
      <c r="E51" s="70" t="s">
        <v>503</v>
      </c>
      <c r="F51" s="53" t="s">
        <v>110</v>
      </c>
      <c r="G51" s="119" t="s">
        <v>132</v>
      </c>
    </row>
    <row r="52">
      <c r="A52" s="99" t="str">
        <f t="shared" si="1"/>
        <v>US-11-TC-50</v>
      </c>
      <c r="B52" s="70" t="s">
        <v>653</v>
      </c>
      <c r="C52" s="54" t="s">
        <v>331</v>
      </c>
      <c r="D52" s="70" t="s">
        <v>428</v>
      </c>
      <c r="E52" s="70" t="s">
        <v>436</v>
      </c>
      <c r="F52" s="53" t="s">
        <v>110</v>
      </c>
      <c r="G52" s="119" t="s">
        <v>132</v>
      </c>
    </row>
    <row r="53">
      <c r="A53" s="99" t="str">
        <f t="shared" si="1"/>
        <v>US-11-TC-51</v>
      </c>
      <c r="B53" s="70" t="s">
        <v>654</v>
      </c>
      <c r="C53" s="54" t="s">
        <v>331</v>
      </c>
      <c r="D53" s="70" t="s">
        <v>431</v>
      </c>
      <c r="E53" s="70" t="s">
        <v>503</v>
      </c>
      <c r="F53" s="53" t="s">
        <v>51</v>
      </c>
      <c r="G53" s="119" t="s">
        <v>136</v>
      </c>
    </row>
    <row r="54">
      <c r="A54" s="99" t="str">
        <f t="shared" si="1"/>
        <v>US-11-TC-52</v>
      </c>
      <c r="B54" s="70" t="s">
        <v>655</v>
      </c>
      <c r="C54" s="54" t="s">
        <v>331</v>
      </c>
      <c r="D54" s="70" t="s">
        <v>431</v>
      </c>
      <c r="E54" s="70" t="s">
        <v>436</v>
      </c>
      <c r="F54" s="53" t="s">
        <v>51</v>
      </c>
      <c r="G54" s="119" t="s">
        <v>136</v>
      </c>
    </row>
    <row r="55">
      <c r="A55" s="99" t="str">
        <f t="shared" si="1"/>
        <v>US-11-TC-53</v>
      </c>
      <c r="B55" s="70" t="s">
        <v>656</v>
      </c>
      <c r="C55" s="54" t="s">
        <v>331</v>
      </c>
      <c r="D55" s="70" t="s">
        <v>431</v>
      </c>
      <c r="E55" s="70" t="s">
        <v>503</v>
      </c>
      <c r="F55" s="53" t="s">
        <v>51</v>
      </c>
      <c r="G55" s="119" t="s">
        <v>136</v>
      </c>
    </row>
    <row r="56">
      <c r="A56" s="99" t="str">
        <f t="shared" si="1"/>
        <v>US-11-TC-54</v>
      </c>
      <c r="B56" s="70" t="s">
        <v>657</v>
      </c>
      <c r="C56" s="54" t="s">
        <v>331</v>
      </c>
      <c r="D56" s="70" t="s">
        <v>431</v>
      </c>
      <c r="E56" s="70" t="s">
        <v>436</v>
      </c>
      <c r="F56" s="53" t="s">
        <v>51</v>
      </c>
      <c r="G56" s="119" t="s">
        <v>136</v>
      </c>
    </row>
    <row r="57">
      <c r="A57" s="99" t="str">
        <f t="shared" si="1"/>
        <v>US-11-TC-55</v>
      </c>
      <c r="B57" s="70" t="s">
        <v>658</v>
      </c>
      <c r="C57" s="54" t="s">
        <v>331</v>
      </c>
      <c r="D57" s="70" t="s">
        <v>431</v>
      </c>
      <c r="E57" s="70" t="s">
        <v>503</v>
      </c>
      <c r="F57" s="53" t="s">
        <v>51</v>
      </c>
      <c r="G57" s="119" t="s">
        <v>145</v>
      </c>
    </row>
    <row r="58">
      <c r="A58" s="99" t="str">
        <f t="shared" si="1"/>
        <v>US-11-TC-56</v>
      </c>
      <c r="B58" s="70" t="s">
        <v>659</v>
      </c>
      <c r="C58" s="54" t="s">
        <v>331</v>
      </c>
      <c r="D58" s="70" t="s">
        <v>431</v>
      </c>
      <c r="E58" s="70" t="s">
        <v>436</v>
      </c>
      <c r="F58" s="53" t="s">
        <v>51</v>
      </c>
      <c r="G58" s="119" t="s">
        <v>145</v>
      </c>
    </row>
    <row r="59">
      <c r="A59" s="99" t="str">
        <f t="shared" si="1"/>
        <v>US-11-TC-57</v>
      </c>
      <c r="B59" s="70" t="s">
        <v>660</v>
      </c>
      <c r="C59" s="54" t="s">
        <v>331</v>
      </c>
      <c r="D59" s="70" t="s">
        <v>431</v>
      </c>
      <c r="E59" s="70" t="s">
        <v>503</v>
      </c>
      <c r="F59" s="53" t="s">
        <v>51</v>
      </c>
      <c r="G59" s="119" t="s">
        <v>148</v>
      </c>
    </row>
    <row r="60">
      <c r="A60" s="99" t="str">
        <f t="shared" si="1"/>
        <v>US-11-TC-58</v>
      </c>
      <c r="B60" s="70" t="s">
        <v>661</v>
      </c>
      <c r="C60" s="54" t="s">
        <v>331</v>
      </c>
      <c r="D60" s="70" t="s">
        <v>431</v>
      </c>
      <c r="E60" s="70" t="s">
        <v>436</v>
      </c>
      <c r="F60" s="53" t="s">
        <v>50</v>
      </c>
      <c r="G60" s="120"/>
    </row>
    <row r="61">
      <c r="A61" s="99" t="str">
        <f t="shared" si="1"/>
        <v>US-11-TC-59</v>
      </c>
      <c r="B61" s="70" t="s">
        <v>662</v>
      </c>
      <c r="C61" s="54" t="s">
        <v>331</v>
      </c>
      <c r="D61" s="70" t="s">
        <v>431</v>
      </c>
      <c r="E61" s="70" t="s">
        <v>503</v>
      </c>
      <c r="F61" s="53" t="s">
        <v>50</v>
      </c>
      <c r="G61" s="120"/>
    </row>
    <row r="62">
      <c r="A62" s="99" t="str">
        <f t="shared" si="1"/>
        <v>US-11-TC-60</v>
      </c>
      <c r="B62" s="70" t="s">
        <v>663</v>
      </c>
      <c r="C62" s="54" t="s">
        <v>331</v>
      </c>
      <c r="D62" s="70" t="s">
        <v>431</v>
      </c>
      <c r="E62" s="70" t="s">
        <v>436</v>
      </c>
      <c r="F62" s="53" t="s">
        <v>50</v>
      </c>
      <c r="G62" s="120"/>
    </row>
    <row r="63">
      <c r="A63" s="99" t="str">
        <f t="shared" ref="A63:A64" si="2">IF(B62&lt;&gt;"", "US-11-TC-" &amp; TEXT(COUNTA($B$3:B63), "00"), "")
</f>
        <v>US-11-TC-61</v>
      </c>
      <c r="B63" s="70" t="s">
        <v>664</v>
      </c>
      <c r="C63" s="54" t="s">
        <v>331</v>
      </c>
      <c r="D63" s="70" t="s">
        <v>431</v>
      </c>
      <c r="E63" s="70" t="s">
        <v>503</v>
      </c>
      <c r="F63" s="53" t="s">
        <v>50</v>
      </c>
      <c r="G63" s="120"/>
    </row>
    <row r="64">
      <c r="A64" s="99" t="str">
        <f t="shared" si="2"/>
        <v>US-11-TC-62</v>
      </c>
      <c r="B64" s="70" t="s">
        <v>665</v>
      </c>
      <c r="C64" s="54" t="s">
        <v>331</v>
      </c>
      <c r="D64" s="70" t="s">
        <v>431</v>
      </c>
      <c r="E64" s="70" t="s">
        <v>436</v>
      </c>
      <c r="F64" s="53" t="s">
        <v>50</v>
      </c>
      <c r="G64" s="120"/>
    </row>
    <row r="65">
      <c r="A65" s="99" t="str">
        <f t="shared" ref="A65:A68" si="3">IF(B63&lt;&gt;"", "US-11-TC-" &amp; TEXT(COUNTA($B$3:B65), "00"), "")
</f>
        <v>US-11-TC-63</v>
      </c>
      <c r="B65" s="70" t="s">
        <v>666</v>
      </c>
      <c r="C65" s="54" t="s">
        <v>331</v>
      </c>
      <c r="D65" s="70" t="s">
        <v>431</v>
      </c>
      <c r="E65" s="70" t="s">
        <v>503</v>
      </c>
      <c r="F65" s="53" t="s">
        <v>50</v>
      </c>
      <c r="G65" s="120"/>
    </row>
    <row r="66">
      <c r="A66" s="99" t="str">
        <f t="shared" si="3"/>
        <v>US-11-TC-64</v>
      </c>
      <c r="B66" s="70" t="s">
        <v>667</v>
      </c>
      <c r="C66" s="54" t="s">
        <v>331</v>
      </c>
      <c r="D66" s="70" t="s">
        <v>431</v>
      </c>
      <c r="E66" s="70" t="s">
        <v>436</v>
      </c>
      <c r="F66" s="53" t="s">
        <v>50</v>
      </c>
      <c r="G66" s="120"/>
    </row>
    <row r="67">
      <c r="A67" s="99" t="str">
        <f t="shared" si="3"/>
        <v>US-11-TC-65</v>
      </c>
      <c r="B67" s="70" t="s">
        <v>668</v>
      </c>
      <c r="C67" s="54" t="s">
        <v>331</v>
      </c>
      <c r="D67" s="70" t="s">
        <v>431</v>
      </c>
      <c r="E67" s="70" t="s">
        <v>503</v>
      </c>
      <c r="F67" s="53" t="s">
        <v>50</v>
      </c>
      <c r="G67" s="120"/>
    </row>
    <row r="68">
      <c r="A68" s="99" t="str">
        <f t="shared" si="3"/>
        <v>US-11-TC-66</v>
      </c>
      <c r="B68" s="70" t="s">
        <v>669</v>
      </c>
      <c r="C68" s="54" t="s">
        <v>331</v>
      </c>
      <c r="D68" s="70" t="s">
        <v>431</v>
      </c>
      <c r="E68" s="70" t="s">
        <v>436</v>
      </c>
      <c r="F68" s="53" t="s">
        <v>50</v>
      </c>
      <c r="G68" s="120"/>
    </row>
    <row r="69">
      <c r="F69" s="121"/>
      <c r="G69" s="120"/>
    </row>
    <row r="70">
      <c r="F70" s="121"/>
      <c r="G70" s="120"/>
    </row>
    <row r="71">
      <c r="F71" s="121"/>
      <c r="G71" s="120"/>
    </row>
    <row r="72">
      <c r="F72" s="121"/>
      <c r="G72" s="120"/>
    </row>
    <row r="73">
      <c r="F73" s="121"/>
      <c r="G73" s="120"/>
    </row>
    <row r="74">
      <c r="F74" s="121"/>
      <c r="G74" s="120"/>
    </row>
    <row r="75">
      <c r="F75" s="121"/>
      <c r="G75" s="120"/>
    </row>
    <row r="76">
      <c r="F76" s="121"/>
      <c r="G76" s="120"/>
    </row>
    <row r="77">
      <c r="F77" s="121"/>
      <c r="G77" s="120"/>
    </row>
    <row r="78">
      <c r="F78" s="121"/>
      <c r="G78" s="120"/>
    </row>
    <row r="79">
      <c r="F79" s="121"/>
      <c r="G79" s="120"/>
    </row>
    <row r="80">
      <c r="F80" s="121"/>
      <c r="G80" s="120"/>
    </row>
    <row r="81">
      <c r="F81" s="121"/>
      <c r="G81" s="120"/>
    </row>
    <row r="82">
      <c r="F82" s="121"/>
      <c r="G82" s="120"/>
    </row>
    <row r="83">
      <c r="F83" s="121"/>
      <c r="G83" s="120"/>
    </row>
    <row r="84">
      <c r="F84" s="121"/>
      <c r="G84" s="120"/>
    </row>
    <row r="85">
      <c r="F85" s="121"/>
      <c r="G85" s="120"/>
    </row>
    <row r="86">
      <c r="F86" s="121"/>
      <c r="G86" s="120"/>
    </row>
    <row r="87">
      <c r="F87" s="121"/>
      <c r="G87" s="120"/>
    </row>
    <row r="88">
      <c r="F88" s="121"/>
      <c r="G88" s="120"/>
    </row>
    <row r="89">
      <c r="F89" s="121"/>
      <c r="G89" s="120"/>
    </row>
    <row r="90">
      <c r="F90" s="121"/>
      <c r="G90" s="120"/>
    </row>
    <row r="91">
      <c r="F91" s="121"/>
      <c r="G91" s="120"/>
    </row>
    <row r="92">
      <c r="F92" s="121"/>
      <c r="G92" s="120"/>
    </row>
    <row r="93">
      <c r="F93" s="121"/>
      <c r="G93" s="120"/>
    </row>
    <row r="94">
      <c r="F94" s="121"/>
      <c r="G94" s="120"/>
    </row>
    <row r="95">
      <c r="F95" s="121"/>
      <c r="G95" s="120"/>
    </row>
    <row r="96">
      <c r="F96" s="121"/>
      <c r="G96" s="120"/>
    </row>
    <row r="97">
      <c r="F97" s="121"/>
      <c r="G97" s="120"/>
    </row>
    <row r="98">
      <c r="F98" s="121"/>
      <c r="G98" s="120"/>
    </row>
    <row r="99">
      <c r="F99" s="121"/>
      <c r="G99" s="120"/>
    </row>
    <row r="100">
      <c r="F100" s="121"/>
      <c r="G100" s="120"/>
    </row>
    <row r="101">
      <c r="F101" s="121"/>
      <c r="G101" s="120"/>
    </row>
    <row r="102">
      <c r="F102" s="121"/>
      <c r="G102" s="120"/>
    </row>
    <row r="103">
      <c r="F103" s="121"/>
      <c r="G103" s="120"/>
    </row>
    <row r="104">
      <c r="F104" s="121"/>
      <c r="G104" s="120"/>
    </row>
    <row r="105">
      <c r="F105" s="121"/>
      <c r="G105" s="120"/>
    </row>
    <row r="106">
      <c r="F106" s="121"/>
      <c r="G106" s="120"/>
    </row>
    <row r="107">
      <c r="F107" s="121"/>
      <c r="G107" s="120"/>
    </row>
    <row r="108">
      <c r="F108" s="121"/>
      <c r="G108" s="120"/>
    </row>
    <row r="109">
      <c r="F109" s="121"/>
      <c r="G109" s="120"/>
    </row>
    <row r="110">
      <c r="F110" s="121"/>
      <c r="G110" s="120"/>
    </row>
    <row r="111">
      <c r="F111" s="121"/>
      <c r="G111" s="120"/>
    </row>
    <row r="112">
      <c r="F112" s="121"/>
      <c r="G112" s="120"/>
    </row>
    <row r="113">
      <c r="F113" s="121"/>
      <c r="G113" s="120"/>
    </row>
    <row r="114">
      <c r="F114" s="121"/>
      <c r="G114" s="120"/>
    </row>
    <row r="115">
      <c r="F115" s="121"/>
      <c r="G115" s="120"/>
    </row>
    <row r="116">
      <c r="F116" s="121"/>
      <c r="G116" s="120"/>
    </row>
    <row r="117">
      <c r="F117" s="121"/>
      <c r="G117" s="120"/>
    </row>
    <row r="118">
      <c r="F118" s="121"/>
      <c r="G118" s="120"/>
    </row>
    <row r="119">
      <c r="F119" s="121"/>
      <c r="G119" s="120"/>
    </row>
    <row r="120">
      <c r="F120" s="121"/>
      <c r="G120" s="120"/>
    </row>
    <row r="121">
      <c r="F121" s="121"/>
      <c r="G121" s="120"/>
    </row>
    <row r="122">
      <c r="F122" s="121"/>
      <c r="G122" s="120"/>
    </row>
    <row r="123">
      <c r="F123" s="121"/>
      <c r="G123" s="120"/>
    </row>
    <row r="124">
      <c r="F124" s="121"/>
      <c r="G124" s="120"/>
    </row>
    <row r="125">
      <c r="F125" s="121"/>
      <c r="G125" s="120"/>
    </row>
    <row r="126">
      <c r="F126" s="121"/>
      <c r="G126" s="120"/>
    </row>
    <row r="127">
      <c r="F127" s="121"/>
      <c r="G127" s="120"/>
    </row>
    <row r="128">
      <c r="F128" s="121"/>
      <c r="G128" s="120"/>
    </row>
    <row r="129">
      <c r="F129" s="121"/>
      <c r="G129" s="120"/>
    </row>
    <row r="130">
      <c r="F130" s="121"/>
      <c r="G130" s="120"/>
    </row>
    <row r="131">
      <c r="F131" s="121"/>
      <c r="G131" s="120"/>
    </row>
    <row r="132">
      <c r="F132" s="121"/>
      <c r="G132" s="120"/>
    </row>
    <row r="133">
      <c r="F133" s="121"/>
      <c r="G133" s="120"/>
    </row>
    <row r="134">
      <c r="F134" s="121"/>
      <c r="G134" s="120"/>
    </row>
    <row r="135">
      <c r="F135" s="121"/>
      <c r="G135" s="120"/>
    </row>
    <row r="136">
      <c r="F136" s="121"/>
      <c r="G136" s="120"/>
    </row>
    <row r="137">
      <c r="F137" s="121"/>
      <c r="G137" s="120"/>
    </row>
    <row r="138">
      <c r="F138" s="121"/>
      <c r="G138" s="120"/>
    </row>
    <row r="139">
      <c r="F139" s="121"/>
      <c r="G139" s="120"/>
    </row>
    <row r="140">
      <c r="F140" s="121"/>
      <c r="G140" s="120"/>
    </row>
    <row r="141">
      <c r="F141" s="121"/>
      <c r="G141" s="120"/>
    </row>
    <row r="142">
      <c r="F142" s="121"/>
      <c r="G142" s="120"/>
    </row>
    <row r="143">
      <c r="F143" s="121"/>
      <c r="G143" s="120"/>
    </row>
    <row r="144">
      <c r="F144" s="121"/>
      <c r="G144" s="120"/>
    </row>
    <row r="145">
      <c r="F145" s="121"/>
      <c r="G145" s="120"/>
    </row>
    <row r="146">
      <c r="F146" s="121"/>
      <c r="G146" s="120"/>
    </row>
    <row r="147">
      <c r="F147" s="121"/>
      <c r="G147" s="120"/>
    </row>
    <row r="148">
      <c r="F148" s="121"/>
      <c r="G148" s="120"/>
    </row>
    <row r="149">
      <c r="F149" s="121"/>
      <c r="G149" s="120"/>
    </row>
    <row r="150">
      <c r="F150" s="121"/>
      <c r="G150" s="120"/>
    </row>
    <row r="151">
      <c r="F151" s="121"/>
      <c r="G151" s="120"/>
    </row>
    <row r="152">
      <c r="F152" s="121"/>
      <c r="G152" s="120"/>
    </row>
    <row r="153">
      <c r="F153" s="121"/>
      <c r="G153" s="120"/>
    </row>
    <row r="154">
      <c r="F154" s="121"/>
      <c r="G154" s="120"/>
    </row>
    <row r="155">
      <c r="F155" s="121"/>
      <c r="G155" s="120"/>
    </row>
    <row r="156">
      <c r="F156" s="121"/>
      <c r="G156" s="120"/>
    </row>
    <row r="157">
      <c r="F157" s="121"/>
      <c r="G157" s="120"/>
    </row>
    <row r="158">
      <c r="F158" s="121"/>
      <c r="G158" s="120"/>
    </row>
    <row r="159">
      <c r="F159" s="121"/>
      <c r="G159" s="120"/>
    </row>
    <row r="160">
      <c r="F160" s="121"/>
      <c r="G160" s="120"/>
    </row>
    <row r="161">
      <c r="F161" s="121"/>
      <c r="G161" s="120"/>
    </row>
    <row r="162">
      <c r="F162" s="121"/>
      <c r="G162" s="120"/>
    </row>
    <row r="163">
      <c r="F163" s="121"/>
      <c r="G163" s="120"/>
    </row>
    <row r="164">
      <c r="F164" s="121"/>
      <c r="G164" s="120"/>
    </row>
    <row r="165">
      <c r="F165" s="121"/>
      <c r="G165" s="120"/>
    </row>
    <row r="166">
      <c r="F166" s="121"/>
      <c r="G166" s="120"/>
    </row>
    <row r="167">
      <c r="F167" s="121"/>
      <c r="G167" s="120"/>
    </row>
    <row r="168">
      <c r="F168" s="121"/>
      <c r="G168" s="120"/>
    </row>
    <row r="169">
      <c r="F169" s="121"/>
      <c r="G169" s="120"/>
    </row>
    <row r="170">
      <c r="F170" s="121"/>
      <c r="G170" s="120"/>
    </row>
    <row r="171">
      <c r="F171" s="121"/>
      <c r="G171" s="120"/>
    </row>
    <row r="172">
      <c r="F172" s="121"/>
      <c r="G172" s="120"/>
    </row>
    <row r="173">
      <c r="F173" s="121"/>
      <c r="G173" s="120"/>
    </row>
    <row r="174">
      <c r="F174" s="121"/>
      <c r="G174" s="120"/>
    </row>
    <row r="175">
      <c r="F175" s="121"/>
      <c r="G175" s="120"/>
    </row>
    <row r="176">
      <c r="F176" s="121"/>
      <c r="G176" s="120"/>
    </row>
    <row r="177">
      <c r="F177" s="121"/>
      <c r="G177" s="120"/>
    </row>
    <row r="178">
      <c r="F178" s="121"/>
      <c r="G178" s="120"/>
    </row>
    <row r="179">
      <c r="F179" s="121"/>
      <c r="G179" s="120"/>
    </row>
    <row r="180">
      <c r="F180" s="121"/>
      <c r="G180" s="120"/>
    </row>
    <row r="181">
      <c r="F181" s="121"/>
      <c r="G181" s="120"/>
    </row>
    <row r="182">
      <c r="F182" s="121"/>
      <c r="G182" s="120"/>
    </row>
    <row r="183">
      <c r="F183" s="121"/>
      <c r="G183" s="120"/>
    </row>
    <row r="184">
      <c r="F184" s="121"/>
      <c r="G184" s="120"/>
    </row>
    <row r="185">
      <c r="F185" s="121"/>
      <c r="G185" s="120"/>
    </row>
    <row r="186">
      <c r="F186" s="121"/>
      <c r="G186" s="120"/>
    </row>
    <row r="187">
      <c r="F187" s="121"/>
      <c r="G187" s="120"/>
    </row>
    <row r="188">
      <c r="F188" s="121"/>
      <c r="G188" s="120"/>
    </row>
    <row r="189">
      <c r="F189" s="121"/>
      <c r="G189" s="120"/>
    </row>
    <row r="190">
      <c r="F190" s="121"/>
      <c r="G190" s="120"/>
    </row>
    <row r="191">
      <c r="F191" s="121"/>
      <c r="G191" s="120"/>
    </row>
    <row r="192">
      <c r="F192" s="121"/>
      <c r="G192" s="120"/>
    </row>
    <row r="193">
      <c r="F193" s="121"/>
      <c r="G193" s="120"/>
    </row>
    <row r="194">
      <c r="F194" s="121"/>
      <c r="G194" s="120"/>
    </row>
    <row r="195">
      <c r="F195" s="121"/>
      <c r="G195" s="120"/>
    </row>
    <row r="196">
      <c r="F196" s="121"/>
      <c r="G196" s="120"/>
    </row>
    <row r="197">
      <c r="F197" s="121"/>
      <c r="G197" s="120"/>
    </row>
    <row r="198">
      <c r="F198" s="121"/>
      <c r="G198" s="120"/>
    </row>
    <row r="199">
      <c r="F199" s="121"/>
      <c r="G199" s="120"/>
    </row>
    <row r="200">
      <c r="F200" s="121"/>
      <c r="G200" s="120"/>
    </row>
    <row r="201">
      <c r="F201" s="121"/>
      <c r="G201" s="120"/>
    </row>
    <row r="202">
      <c r="F202" s="121"/>
      <c r="G202" s="120"/>
    </row>
    <row r="203">
      <c r="F203" s="121"/>
      <c r="G203" s="120"/>
    </row>
    <row r="204">
      <c r="F204" s="121"/>
      <c r="G204" s="120"/>
    </row>
    <row r="205">
      <c r="F205" s="121"/>
      <c r="G205" s="120"/>
    </row>
    <row r="206">
      <c r="F206" s="121"/>
      <c r="G206" s="120"/>
    </row>
    <row r="207">
      <c r="F207" s="121"/>
      <c r="G207" s="120"/>
    </row>
    <row r="208">
      <c r="F208" s="121"/>
      <c r="G208" s="120"/>
    </row>
    <row r="209">
      <c r="F209" s="121"/>
      <c r="G209" s="120"/>
    </row>
    <row r="210">
      <c r="F210" s="121"/>
      <c r="G210" s="120"/>
    </row>
    <row r="211">
      <c r="F211" s="121"/>
      <c r="G211" s="120"/>
    </row>
    <row r="212">
      <c r="F212" s="121"/>
      <c r="G212" s="120"/>
    </row>
    <row r="213">
      <c r="F213" s="121"/>
      <c r="G213" s="120"/>
    </row>
    <row r="214">
      <c r="F214" s="121"/>
      <c r="G214" s="120"/>
    </row>
    <row r="215">
      <c r="F215" s="121"/>
      <c r="G215" s="120"/>
    </row>
    <row r="216">
      <c r="F216" s="121"/>
      <c r="G216" s="120"/>
    </row>
    <row r="217">
      <c r="F217" s="121"/>
      <c r="G217" s="120"/>
    </row>
    <row r="218">
      <c r="F218" s="121"/>
      <c r="G218" s="120"/>
    </row>
    <row r="219">
      <c r="F219" s="121"/>
      <c r="G219" s="120"/>
    </row>
    <row r="220">
      <c r="F220" s="121"/>
      <c r="G220" s="120"/>
    </row>
    <row r="221">
      <c r="F221" s="121"/>
      <c r="G221" s="120"/>
    </row>
    <row r="222">
      <c r="F222" s="121"/>
      <c r="G222" s="120"/>
    </row>
    <row r="223">
      <c r="F223" s="121"/>
      <c r="G223" s="120"/>
    </row>
    <row r="224">
      <c r="F224" s="121"/>
      <c r="G224" s="120"/>
    </row>
    <row r="225">
      <c r="F225" s="121"/>
      <c r="G225" s="120"/>
    </row>
    <row r="226">
      <c r="F226" s="121"/>
      <c r="G226" s="120"/>
    </row>
    <row r="227">
      <c r="F227" s="121"/>
      <c r="G227" s="120"/>
    </row>
    <row r="228">
      <c r="F228" s="121"/>
      <c r="G228" s="120"/>
    </row>
    <row r="229">
      <c r="F229" s="121"/>
      <c r="G229" s="120"/>
    </row>
    <row r="230">
      <c r="F230" s="121"/>
      <c r="G230" s="120"/>
    </row>
    <row r="231">
      <c r="F231" s="121"/>
      <c r="G231" s="120"/>
    </row>
    <row r="232">
      <c r="F232" s="121"/>
      <c r="G232" s="120"/>
    </row>
    <row r="233">
      <c r="F233" s="121"/>
      <c r="G233" s="120"/>
    </row>
    <row r="234">
      <c r="F234" s="121"/>
      <c r="G234" s="120"/>
    </row>
    <row r="235">
      <c r="F235" s="121"/>
      <c r="G235" s="120"/>
    </row>
    <row r="236">
      <c r="F236" s="121"/>
      <c r="G236" s="120"/>
    </row>
    <row r="237">
      <c r="F237" s="121"/>
      <c r="G237" s="120"/>
    </row>
    <row r="238">
      <c r="F238" s="121"/>
      <c r="G238" s="120"/>
    </row>
    <row r="239">
      <c r="F239" s="121"/>
      <c r="G239" s="120"/>
    </row>
    <row r="240">
      <c r="F240" s="121"/>
      <c r="G240" s="120"/>
    </row>
    <row r="241">
      <c r="F241" s="121"/>
      <c r="G241" s="120"/>
    </row>
    <row r="242">
      <c r="F242" s="121"/>
      <c r="G242" s="120"/>
    </row>
    <row r="243">
      <c r="F243" s="121"/>
      <c r="G243" s="120"/>
    </row>
    <row r="244">
      <c r="F244" s="121"/>
      <c r="G244" s="120"/>
    </row>
    <row r="245">
      <c r="F245" s="121"/>
      <c r="G245" s="120"/>
    </row>
    <row r="246">
      <c r="F246" s="121"/>
      <c r="G246" s="120"/>
    </row>
    <row r="247">
      <c r="F247" s="121"/>
      <c r="G247" s="120"/>
    </row>
    <row r="248">
      <c r="F248" s="121"/>
      <c r="G248" s="120"/>
    </row>
    <row r="249">
      <c r="F249" s="121"/>
      <c r="G249" s="120"/>
    </row>
    <row r="250">
      <c r="F250" s="121"/>
      <c r="G250" s="120"/>
    </row>
    <row r="251">
      <c r="F251" s="121"/>
      <c r="G251" s="120"/>
    </row>
    <row r="252">
      <c r="F252" s="121"/>
      <c r="G252" s="120"/>
    </row>
    <row r="253">
      <c r="F253" s="121"/>
      <c r="G253" s="120"/>
    </row>
    <row r="254">
      <c r="F254" s="121"/>
      <c r="G254" s="120"/>
    </row>
    <row r="255">
      <c r="F255" s="121"/>
      <c r="G255" s="120"/>
    </row>
    <row r="256">
      <c r="F256" s="121"/>
      <c r="G256" s="120"/>
    </row>
    <row r="257">
      <c r="F257" s="121"/>
      <c r="G257" s="120"/>
    </row>
    <row r="258">
      <c r="F258" s="121"/>
      <c r="G258" s="120"/>
    </row>
    <row r="259">
      <c r="F259" s="121"/>
      <c r="G259" s="120"/>
    </row>
    <row r="260">
      <c r="F260" s="121"/>
      <c r="G260" s="120"/>
    </row>
    <row r="261">
      <c r="F261" s="121"/>
      <c r="G261" s="120"/>
    </row>
    <row r="262">
      <c r="F262" s="121"/>
      <c r="G262" s="120"/>
    </row>
    <row r="263">
      <c r="F263" s="121"/>
      <c r="G263" s="120"/>
    </row>
    <row r="264">
      <c r="F264" s="121"/>
      <c r="G264" s="120"/>
    </row>
    <row r="265">
      <c r="F265" s="121"/>
      <c r="G265" s="120"/>
    </row>
    <row r="266">
      <c r="F266" s="121"/>
      <c r="G266" s="120"/>
    </row>
    <row r="267">
      <c r="F267" s="121"/>
      <c r="G267" s="120"/>
    </row>
    <row r="268">
      <c r="F268" s="121"/>
      <c r="G268" s="120"/>
    </row>
    <row r="269">
      <c r="F269" s="121"/>
      <c r="G269" s="120"/>
    </row>
    <row r="270">
      <c r="F270" s="121"/>
      <c r="G270" s="120"/>
    </row>
    <row r="271">
      <c r="F271" s="121"/>
      <c r="G271" s="120"/>
    </row>
    <row r="272">
      <c r="F272" s="121"/>
      <c r="G272" s="120"/>
    </row>
    <row r="273">
      <c r="F273" s="121"/>
      <c r="G273" s="120"/>
    </row>
    <row r="274">
      <c r="F274" s="121"/>
      <c r="G274" s="120"/>
    </row>
    <row r="275">
      <c r="F275" s="121"/>
      <c r="G275" s="120"/>
    </row>
    <row r="276">
      <c r="F276" s="121"/>
      <c r="G276" s="120"/>
    </row>
    <row r="277">
      <c r="F277" s="121"/>
      <c r="G277" s="120"/>
    </row>
    <row r="278">
      <c r="F278" s="121"/>
      <c r="G278" s="120"/>
    </row>
    <row r="279">
      <c r="F279" s="121"/>
      <c r="G279" s="120"/>
    </row>
    <row r="280">
      <c r="F280" s="121"/>
      <c r="G280" s="120"/>
    </row>
    <row r="281">
      <c r="F281" s="121"/>
      <c r="G281" s="120"/>
    </row>
    <row r="282">
      <c r="F282" s="121"/>
      <c r="G282" s="120"/>
    </row>
    <row r="283">
      <c r="F283" s="121"/>
      <c r="G283" s="120"/>
    </row>
    <row r="284">
      <c r="F284" s="121"/>
      <c r="G284" s="120"/>
    </row>
    <row r="285">
      <c r="F285" s="121"/>
      <c r="G285" s="120"/>
    </row>
    <row r="286">
      <c r="F286" s="121"/>
      <c r="G286" s="120"/>
    </row>
    <row r="287">
      <c r="F287" s="121"/>
      <c r="G287" s="120"/>
    </row>
    <row r="288">
      <c r="F288" s="121"/>
      <c r="G288" s="120"/>
    </row>
    <row r="289">
      <c r="F289" s="121"/>
      <c r="G289" s="120"/>
    </row>
    <row r="290">
      <c r="F290" s="121"/>
      <c r="G290" s="120"/>
    </row>
    <row r="291">
      <c r="F291" s="121"/>
      <c r="G291" s="120"/>
    </row>
    <row r="292">
      <c r="F292" s="121"/>
      <c r="G292" s="120"/>
    </row>
    <row r="293">
      <c r="F293" s="121"/>
      <c r="G293" s="120"/>
    </row>
    <row r="294">
      <c r="F294" s="121"/>
      <c r="G294" s="120"/>
    </row>
    <row r="295">
      <c r="F295" s="121"/>
      <c r="G295" s="120"/>
    </row>
    <row r="296">
      <c r="F296" s="121"/>
      <c r="G296" s="120"/>
    </row>
    <row r="297">
      <c r="F297" s="121"/>
      <c r="G297" s="120"/>
    </row>
    <row r="298">
      <c r="F298" s="121"/>
      <c r="G298" s="120"/>
    </row>
    <row r="299">
      <c r="F299" s="121"/>
      <c r="G299" s="120"/>
    </row>
    <row r="300">
      <c r="F300" s="121"/>
      <c r="G300" s="120"/>
    </row>
    <row r="301">
      <c r="F301" s="121"/>
      <c r="G301" s="120"/>
    </row>
    <row r="302">
      <c r="F302" s="121"/>
      <c r="G302" s="120"/>
    </row>
    <row r="303">
      <c r="F303" s="121"/>
      <c r="G303" s="120"/>
    </row>
    <row r="304">
      <c r="F304" s="121"/>
      <c r="G304" s="120"/>
    </row>
    <row r="305">
      <c r="F305" s="121"/>
      <c r="G305" s="120"/>
    </row>
    <row r="306">
      <c r="F306" s="121"/>
      <c r="G306" s="120"/>
    </row>
    <row r="307">
      <c r="F307" s="121"/>
      <c r="G307" s="120"/>
    </row>
    <row r="308">
      <c r="F308" s="121"/>
      <c r="G308" s="120"/>
    </row>
    <row r="309">
      <c r="F309" s="121"/>
      <c r="G309" s="120"/>
    </row>
    <row r="310">
      <c r="F310" s="121"/>
      <c r="G310" s="120"/>
    </row>
    <row r="311">
      <c r="F311" s="121"/>
      <c r="G311" s="120"/>
    </row>
    <row r="312">
      <c r="F312" s="121"/>
      <c r="G312" s="120"/>
    </row>
    <row r="313">
      <c r="F313" s="121"/>
      <c r="G313" s="120"/>
    </row>
    <row r="314">
      <c r="F314" s="121"/>
      <c r="G314" s="120"/>
    </row>
    <row r="315">
      <c r="F315" s="121"/>
      <c r="G315" s="120"/>
    </row>
    <row r="316">
      <c r="F316" s="121"/>
      <c r="G316" s="120"/>
    </row>
    <row r="317">
      <c r="F317" s="121"/>
      <c r="G317" s="120"/>
    </row>
    <row r="318">
      <c r="F318" s="121"/>
      <c r="G318" s="120"/>
    </row>
    <row r="319">
      <c r="F319" s="121"/>
      <c r="G319" s="120"/>
    </row>
    <row r="320">
      <c r="F320" s="121"/>
      <c r="G320" s="120"/>
    </row>
    <row r="321">
      <c r="F321" s="121"/>
      <c r="G321" s="120"/>
    </row>
    <row r="322">
      <c r="F322" s="121"/>
      <c r="G322" s="120"/>
    </row>
    <row r="323">
      <c r="F323" s="121"/>
      <c r="G323" s="120"/>
    </row>
    <row r="324">
      <c r="F324" s="121"/>
      <c r="G324" s="120"/>
    </row>
    <row r="325">
      <c r="F325" s="121"/>
      <c r="G325" s="120"/>
    </row>
    <row r="326">
      <c r="F326" s="121"/>
      <c r="G326" s="120"/>
    </row>
    <row r="327">
      <c r="F327" s="121"/>
      <c r="G327" s="120"/>
    </row>
    <row r="328">
      <c r="F328" s="121"/>
      <c r="G328" s="120"/>
    </row>
    <row r="329">
      <c r="F329" s="121"/>
      <c r="G329" s="120"/>
    </row>
    <row r="330">
      <c r="F330" s="121"/>
      <c r="G330" s="120"/>
    </row>
    <row r="331">
      <c r="F331" s="121"/>
      <c r="G331" s="120"/>
    </row>
    <row r="332">
      <c r="F332" s="121"/>
      <c r="G332" s="120"/>
    </row>
    <row r="333">
      <c r="F333" s="121"/>
      <c r="G333" s="120"/>
    </row>
    <row r="334">
      <c r="F334" s="121"/>
      <c r="G334" s="120"/>
    </row>
    <row r="335">
      <c r="F335" s="121"/>
      <c r="G335" s="120"/>
    </row>
    <row r="336">
      <c r="F336" s="121"/>
      <c r="G336" s="120"/>
    </row>
    <row r="337">
      <c r="F337" s="121"/>
      <c r="G337" s="120"/>
    </row>
    <row r="338">
      <c r="F338" s="121"/>
      <c r="G338" s="120"/>
    </row>
    <row r="339">
      <c r="F339" s="121"/>
      <c r="G339" s="120"/>
    </row>
    <row r="340">
      <c r="F340" s="121"/>
      <c r="G340" s="120"/>
    </row>
    <row r="341">
      <c r="F341" s="121"/>
      <c r="G341" s="120"/>
    </row>
    <row r="342">
      <c r="F342" s="121"/>
      <c r="G342" s="120"/>
    </row>
    <row r="343">
      <c r="F343" s="121"/>
      <c r="G343" s="120"/>
    </row>
    <row r="344">
      <c r="F344" s="121"/>
      <c r="G344" s="120"/>
    </row>
    <row r="345">
      <c r="F345" s="121"/>
      <c r="G345" s="120"/>
    </row>
    <row r="346">
      <c r="F346" s="121"/>
      <c r="G346" s="120"/>
    </row>
    <row r="347">
      <c r="F347" s="121"/>
      <c r="G347" s="120"/>
    </row>
    <row r="348">
      <c r="F348" s="121"/>
      <c r="G348" s="120"/>
    </row>
    <row r="349">
      <c r="F349" s="121"/>
      <c r="G349" s="120"/>
    </row>
    <row r="350">
      <c r="F350" s="121"/>
      <c r="G350" s="120"/>
    </row>
    <row r="351">
      <c r="F351" s="121"/>
      <c r="G351" s="120"/>
    </row>
    <row r="352">
      <c r="F352" s="121"/>
      <c r="G352" s="120"/>
    </row>
    <row r="353">
      <c r="F353" s="121"/>
      <c r="G353" s="120"/>
    </row>
    <row r="354">
      <c r="F354" s="121"/>
      <c r="G354" s="120"/>
    </row>
    <row r="355">
      <c r="F355" s="121"/>
      <c r="G355" s="120"/>
    </row>
    <row r="356">
      <c r="F356" s="121"/>
      <c r="G356" s="120"/>
    </row>
    <row r="357">
      <c r="F357" s="121"/>
      <c r="G357" s="120"/>
    </row>
    <row r="358">
      <c r="F358" s="121"/>
      <c r="G358" s="120"/>
    </row>
    <row r="359">
      <c r="F359" s="121"/>
      <c r="G359" s="120"/>
    </row>
    <row r="360">
      <c r="F360" s="121"/>
      <c r="G360" s="120"/>
    </row>
    <row r="361">
      <c r="F361" s="121"/>
      <c r="G361" s="120"/>
    </row>
    <row r="362">
      <c r="F362" s="121"/>
      <c r="G362" s="120"/>
    </row>
    <row r="363">
      <c r="F363" s="121"/>
      <c r="G363" s="120"/>
    </row>
    <row r="364">
      <c r="F364" s="121"/>
      <c r="G364" s="120"/>
    </row>
    <row r="365">
      <c r="F365" s="121"/>
      <c r="G365" s="120"/>
    </row>
    <row r="366">
      <c r="F366" s="121"/>
      <c r="G366" s="120"/>
    </row>
    <row r="367">
      <c r="F367" s="121"/>
      <c r="G367" s="120"/>
    </row>
    <row r="368">
      <c r="F368" s="121"/>
      <c r="G368" s="120"/>
    </row>
    <row r="369">
      <c r="F369" s="121"/>
      <c r="G369" s="120"/>
    </row>
    <row r="370">
      <c r="F370" s="121"/>
      <c r="G370" s="120"/>
    </row>
    <row r="371">
      <c r="F371" s="121"/>
      <c r="G371" s="120"/>
    </row>
    <row r="372">
      <c r="F372" s="121"/>
      <c r="G372" s="120"/>
    </row>
    <row r="373">
      <c r="F373" s="121"/>
      <c r="G373" s="120"/>
    </row>
    <row r="374">
      <c r="F374" s="121"/>
      <c r="G374" s="120"/>
    </row>
    <row r="375">
      <c r="F375" s="121"/>
      <c r="G375" s="120"/>
    </row>
    <row r="376">
      <c r="F376" s="121"/>
      <c r="G376" s="120"/>
    </row>
    <row r="377">
      <c r="F377" s="121"/>
      <c r="G377" s="120"/>
    </row>
    <row r="378">
      <c r="F378" s="121"/>
      <c r="G378" s="120"/>
    </row>
    <row r="379">
      <c r="F379" s="121"/>
      <c r="G379" s="120"/>
    </row>
    <row r="380">
      <c r="F380" s="121"/>
      <c r="G380" s="120"/>
    </row>
    <row r="381">
      <c r="F381" s="121"/>
      <c r="G381" s="120"/>
    </row>
    <row r="382">
      <c r="F382" s="121"/>
      <c r="G382" s="120"/>
    </row>
    <row r="383">
      <c r="F383" s="121"/>
      <c r="G383" s="120"/>
    </row>
    <row r="384">
      <c r="F384" s="121"/>
      <c r="G384" s="120"/>
    </row>
    <row r="385">
      <c r="F385" s="121"/>
      <c r="G385" s="120"/>
    </row>
    <row r="386">
      <c r="F386" s="121"/>
      <c r="G386" s="120"/>
    </row>
    <row r="387">
      <c r="F387" s="121"/>
      <c r="G387" s="120"/>
    </row>
    <row r="388">
      <c r="F388" s="121"/>
      <c r="G388" s="120"/>
    </row>
    <row r="389">
      <c r="F389" s="121"/>
      <c r="G389" s="120"/>
    </row>
    <row r="390">
      <c r="F390" s="121"/>
      <c r="G390" s="120"/>
    </row>
    <row r="391">
      <c r="F391" s="121"/>
      <c r="G391" s="120"/>
    </row>
    <row r="392">
      <c r="F392" s="121"/>
      <c r="G392" s="120"/>
    </row>
    <row r="393">
      <c r="F393" s="121"/>
      <c r="G393" s="120"/>
    </row>
    <row r="394">
      <c r="F394" s="121"/>
      <c r="G394" s="120"/>
    </row>
    <row r="395">
      <c r="F395" s="121"/>
      <c r="G395" s="120"/>
    </row>
    <row r="396">
      <c r="F396" s="121"/>
      <c r="G396" s="120"/>
    </row>
    <row r="397">
      <c r="F397" s="121"/>
      <c r="G397" s="120"/>
    </row>
    <row r="398">
      <c r="F398" s="121"/>
      <c r="G398" s="120"/>
    </row>
    <row r="399">
      <c r="F399" s="121"/>
      <c r="G399" s="120"/>
    </row>
    <row r="400">
      <c r="F400" s="121"/>
      <c r="G400" s="120"/>
    </row>
    <row r="401">
      <c r="F401" s="121"/>
      <c r="G401" s="120"/>
    </row>
    <row r="402">
      <c r="F402" s="121"/>
      <c r="G402" s="120"/>
    </row>
    <row r="403">
      <c r="F403" s="121"/>
      <c r="G403" s="120"/>
    </row>
    <row r="404">
      <c r="F404" s="121"/>
      <c r="G404" s="120"/>
    </row>
    <row r="405">
      <c r="F405" s="121"/>
      <c r="G405" s="120"/>
    </row>
    <row r="406">
      <c r="F406" s="121"/>
      <c r="G406" s="120"/>
    </row>
    <row r="407">
      <c r="F407" s="121"/>
      <c r="G407" s="120"/>
    </row>
    <row r="408">
      <c r="F408" s="121"/>
      <c r="G408" s="120"/>
    </row>
    <row r="409">
      <c r="F409" s="121"/>
      <c r="G409" s="120"/>
    </row>
    <row r="410">
      <c r="F410" s="121"/>
      <c r="G410" s="120"/>
    </row>
    <row r="411">
      <c r="F411" s="121"/>
      <c r="G411" s="120"/>
    </row>
    <row r="412">
      <c r="F412" s="121"/>
      <c r="G412" s="120"/>
    </row>
    <row r="413">
      <c r="F413" s="121"/>
      <c r="G413" s="120"/>
    </row>
    <row r="414">
      <c r="F414" s="121"/>
      <c r="G414" s="120"/>
    </row>
    <row r="415">
      <c r="F415" s="121"/>
      <c r="G415" s="120"/>
    </row>
    <row r="416">
      <c r="F416" s="121"/>
      <c r="G416" s="120"/>
    </row>
    <row r="417">
      <c r="F417" s="121"/>
      <c r="G417" s="120"/>
    </row>
    <row r="418">
      <c r="F418" s="121"/>
      <c r="G418" s="120"/>
    </row>
    <row r="419">
      <c r="F419" s="121"/>
      <c r="G419" s="120"/>
    </row>
    <row r="420">
      <c r="F420" s="121"/>
      <c r="G420" s="120"/>
    </row>
    <row r="421">
      <c r="F421" s="121"/>
      <c r="G421" s="120"/>
    </row>
    <row r="422">
      <c r="F422" s="121"/>
      <c r="G422" s="120"/>
    </row>
    <row r="423">
      <c r="F423" s="121"/>
      <c r="G423" s="120"/>
    </row>
    <row r="424">
      <c r="F424" s="121"/>
      <c r="G424" s="120"/>
    </row>
    <row r="425">
      <c r="F425" s="121"/>
      <c r="G425" s="120"/>
    </row>
    <row r="426">
      <c r="F426" s="121"/>
      <c r="G426" s="120"/>
    </row>
    <row r="427">
      <c r="F427" s="121"/>
      <c r="G427" s="120"/>
    </row>
    <row r="428">
      <c r="F428" s="121"/>
      <c r="G428" s="120"/>
    </row>
    <row r="429">
      <c r="F429" s="121"/>
      <c r="G429" s="120"/>
    </row>
    <row r="430">
      <c r="F430" s="121"/>
      <c r="G430" s="120"/>
    </row>
    <row r="431">
      <c r="F431" s="121"/>
      <c r="G431" s="120"/>
    </row>
    <row r="432">
      <c r="F432" s="121"/>
      <c r="G432" s="120"/>
    </row>
    <row r="433">
      <c r="F433" s="121"/>
      <c r="G433" s="120"/>
    </row>
    <row r="434">
      <c r="F434" s="121"/>
      <c r="G434" s="120"/>
    </row>
    <row r="435">
      <c r="F435" s="121"/>
      <c r="G435" s="120"/>
    </row>
    <row r="436">
      <c r="F436" s="121"/>
      <c r="G436" s="120"/>
    </row>
    <row r="437">
      <c r="F437" s="121"/>
      <c r="G437" s="120"/>
    </row>
    <row r="438">
      <c r="F438" s="121"/>
      <c r="G438" s="120"/>
    </row>
    <row r="439">
      <c r="F439" s="121"/>
      <c r="G439" s="120"/>
    </row>
    <row r="440">
      <c r="F440" s="121"/>
      <c r="G440" s="120"/>
    </row>
    <row r="441">
      <c r="F441" s="121"/>
      <c r="G441" s="120"/>
    </row>
    <row r="442">
      <c r="F442" s="121"/>
      <c r="G442" s="120"/>
    </row>
    <row r="443">
      <c r="F443" s="121"/>
      <c r="G443" s="120"/>
    </row>
    <row r="444">
      <c r="F444" s="121"/>
      <c r="G444" s="120"/>
    </row>
    <row r="445">
      <c r="F445" s="121"/>
      <c r="G445" s="120"/>
    </row>
    <row r="446">
      <c r="F446" s="121"/>
      <c r="G446" s="120"/>
    </row>
    <row r="447">
      <c r="F447" s="121"/>
      <c r="G447" s="120"/>
    </row>
    <row r="448">
      <c r="F448" s="121"/>
      <c r="G448" s="120"/>
    </row>
    <row r="449">
      <c r="F449" s="121"/>
      <c r="G449" s="120"/>
    </row>
    <row r="450">
      <c r="F450" s="121"/>
      <c r="G450" s="120"/>
    </row>
    <row r="451">
      <c r="F451" s="121"/>
      <c r="G451" s="120"/>
    </row>
    <row r="452">
      <c r="F452" s="121"/>
      <c r="G452" s="120"/>
    </row>
    <row r="453">
      <c r="F453" s="121"/>
      <c r="G453" s="120"/>
    </row>
    <row r="454">
      <c r="F454" s="121"/>
      <c r="G454" s="120"/>
    </row>
    <row r="455">
      <c r="F455" s="121"/>
      <c r="G455" s="120"/>
    </row>
    <row r="456">
      <c r="F456" s="121"/>
      <c r="G456" s="120"/>
    </row>
    <row r="457">
      <c r="F457" s="121"/>
      <c r="G457" s="120"/>
    </row>
    <row r="458">
      <c r="F458" s="121"/>
      <c r="G458" s="120"/>
    </row>
    <row r="459">
      <c r="F459" s="121"/>
      <c r="G459" s="120"/>
    </row>
    <row r="460">
      <c r="F460" s="121"/>
      <c r="G460" s="120"/>
    </row>
    <row r="461">
      <c r="F461" s="121"/>
      <c r="G461" s="120"/>
    </row>
    <row r="462">
      <c r="F462" s="121"/>
      <c r="G462" s="120"/>
    </row>
    <row r="463">
      <c r="F463" s="121"/>
      <c r="G463" s="120"/>
    </row>
    <row r="464">
      <c r="F464" s="121"/>
      <c r="G464" s="120"/>
    </row>
    <row r="465">
      <c r="F465" s="121"/>
      <c r="G465" s="120"/>
    </row>
    <row r="466">
      <c r="F466" s="121"/>
      <c r="G466" s="120"/>
    </row>
    <row r="467">
      <c r="F467" s="121"/>
      <c r="G467" s="120"/>
    </row>
    <row r="468">
      <c r="F468" s="121"/>
      <c r="G468" s="120"/>
    </row>
    <row r="469">
      <c r="F469" s="121"/>
      <c r="G469" s="120"/>
    </row>
    <row r="470">
      <c r="F470" s="121"/>
      <c r="G470" s="120"/>
    </row>
    <row r="471">
      <c r="F471" s="121"/>
      <c r="G471" s="120"/>
    </row>
    <row r="472">
      <c r="F472" s="121"/>
      <c r="G472" s="120"/>
    </row>
    <row r="473">
      <c r="F473" s="121"/>
      <c r="G473" s="120"/>
    </row>
    <row r="474">
      <c r="F474" s="121"/>
      <c r="G474" s="120"/>
    </row>
    <row r="475">
      <c r="F475" s="121"/>
      <c r="G475" s="120"/>
    </row>
    <row r="476">
      <c r="F476" s="121"/>
      <c r="G476" s="120"/>
    </row>
    <row r="477">
      <c r="F477" s="121"/>
      <c r="G477" s="120"/>
    </row>
    <row r="478">
      <c r="F478" s="121"/>
      <c r="G478" s="120"/>
    </row>
    <row r="479">
      <c r="F479" s="121"/>
      <c r="G479" s="120"/>
    </row>
    <row r="480">
      <c r="F480" s="121"/>
      <c r="G480" s="120"/>
    </row>
    <row r="481">
      <c r="F481" s="121"/>
      <c r="G481" s="120"/>
    </row>
    <row r="482">
      <c r="F482" s="121"/>
      <c r="G482" s="120"/>
    </row>
    <row r="483">
      <c r="F483" s="121"/>
      <c r="G483" s="120"/>
    </row>
    <row r="484">
      <c r="F484" s="121"/>
      <c r="G484" s="120"/>
    </row>
    <row r="485">
      <c r="F485" s="121"/>
      <c r="G485" s="120"/>
    </row>
    <row r="486">
      <c r="F486" s="121"/>
      <c r="G486" s="120"/>
    </row>
    <row r="487">
      <c r="F487" s="121"/>
      <c r="G487" s="120"/>
    </row>
    <row r="488">
      <c r="F488" s="121"/>
      <c r="G488" s="120"/>
    </row>
    <row r="489">
      <c r="F489" s="121"/>
      <c r="G489" s="120"/>
    </row>
    <row r="490">
      <c r="F490" s="121"/>
      <c r="G490" s="120"/>
    </row>
    <row r="491">
      <c r="F491" s="121"/>
      <c r="G491" s="120"/>
    </row>
    <row r="492">
      <c r="F492" s="121"/>
      <c r="G492" s="120"/>
    </row>
    <row r="493">
      <c r="F493" s="121"/>
      <c r="G493" s="120"/>
    </row>
    <row r="494">
      <c r="F494" s="121"/>
      <c r="G494" s="120"/>
    </row>
    <row r="495">
      <c r="F495" s="121"/>
      <c r="G495" s="120"/>
    </row>
    <row r="496">
      <c r="F496" s="121"/>
      <c r="G496" s="120"/>
    </row>
    <row r="497">
      <c r="F497" s="121"/>
      <c r="G497" s="120"/>
    </row>
    <row r="498">
      <c r="F498" s="121"/>
      <c r="G498" s="120"/>
    </row>
    <row r="499">
      <c r="F499" s="121"/>
      <c r="G499" s="120"/>
    </row>
    <row r="500">
      <c r="F500" s="121"/>
      <c r="G500" s="120"/>
    </row>
    <row r="501">
      <c r="F501" s="121"/>
      <c r="G501" s="120"/>
    </row>
    <row r="502">
      <c r="F502" s="121"/>
      <c r="G502" s="120"/>
    </row>
    <row r="503">
      <c r="F503" s="121"/>
      <c r="G503" s="120"/>
    </row>
    <row r="504">
      <c r="F504" s="121"/>
      <c r="G504" s="120"/>
    </row>
    <row r="505">
      <c r="F505" s="121"/>
      <c r="G505" s="120"/>
    </row>
    <row r="506">
      <c r="F506" s="121"/>
      <c r="G506" s="120"/>
    </row>
    <row r="507">
      <c r="F507" s="121"/>
      <c r="G507" s="120"/>
    </row>
    <row r="508">
      <c r="F508" s="121"/>
      <c r="G508" s="120"/>
    </row>
    <row r="509">
      <c r="F509" s="121"/>
      <c r="G509" s="120"/>
    </row>
    <row r="510">
      <c r="F510" s="121"/>
      <c r="G510" s="120"/>
    </row>
    <row r="511">
      <c r="F511" s="121"/>
      <c r="G511" s="120"/>
    </row>
    <row r="512">
      <c r="F512" s="121"/>
      <c r="G512" s="120"/>
    </row>
    <row r="513">
      <c r="F513" s="121"/>
      <c r="G513" s="120"/>
    </row>
    <row r="514">
      <c r="F514" s="121"/>
      <c r="G514" s="120"/>
    </row>
    <row r="515">
      <c r="F515" s="121"/>
      <c r="G515" s="120"/>
    </row>
    <row r="516">
      <c r="F516" s="121"/>
      <c r="G516" s="120"/>
    </row>
    <row r="517">
      <c r="F517" s="121"/>
      <c r="G517" s="120"/>
    </row>
    <row r="518">
      <c r="F518" s="121"/>
      <c r="G518" s="120"/>
    </row>
    <row r="519">
      <c r="F519" s="121"/>
      <c r="G519" s="120"/>
    </row>
    <row r="520">
      <c r="F520" s="121"/>
      <c r="G520" s="120"/>
    </row>
    <row r="521">
      <c r="F521" s="121"/>
      <c r="G521" s="120"/>
    </row>
    <row r="522">
      <c r="F522" s="121"/>
      <c r="G522" s="120"/>
    </row>
    <row r="523">
      <c r="F523" s="121"/>
      <c r="G523" s="120"/>
    </row>
    <row r="524">
      <c r="F524" s="121"/>
      <c r="G524" s="120"/>
    </row>
    <row r="525">
      <c r="F525" s="121"/>
      <c r="G525" s="120"/>
    </row>
    <row r="526">
      <c r="F526" s="121"/>
      <c r="G526" s="120"/>
    </row>
    <row r="527">
      <c r="F527" s="121"/>
      <c r="G527" s="120"/>
    </row>
    <row r="528">
      <c r="F528" s="121"/>
      <c r="G528" s="120"/>
    </row>
    <row r="529">
      <c r="F529" s="121"/>
      <c r="G529" s="120"/>
    </row>
    <row r="530">
      <c r="F530" s="121"/>
      <c r="G530" s="120"/>
    </row>
    <row r="531">
      <c r="F531" s="121"/>
      <c r="G531" s="120"/>
    </row>
    <row r="532">
      <c r="F532" s="121"/>
      <c r="G532" s="120"/>
    </row>
    <row r="533">
      <c r="F533" s="121"/>
      <c r="G533" s="120"/>
    </row>
    <row r="534">
      <c r="F534" s="121"/>
      <c r="G534" s="120"/>
    </row>
    <row r="535">
      <c r="F535" s="121"/>
      <c r="G535" s="120"/>
    </row>
    <row r="536">
      <c r="F536" s="121"/>
      <c r="G536" s="120"/>
    </row>
    <row r="537">
      <c r="F537" s="121"/>
      <c r="G537" s="120"/>
    </row>
    <row r="538">
      <c r="F538" s="121"/>
      <c r="G538" s="120"/>
    </row>
    <row r="539">
      <c r="F539" s="121"/>
      <c r="G539" s="120"/>
    </row>
    <row r="540">
      <c r="F540" s="121"/>
      <c r="G540" s="120"/>
    </row>
    <row r="541">
      <c r="F541" s="121"/>
      <c r="G541" s="120"/>
    </row>
    <row r="542">
      <c r="F542" s="121"/>
      <c r="G542" s="120"/>
    </row>
    <row r="543">
      <c r="F543" s="121"/>
      <c r="G543" s="120"/>
    </row>
    <row r="544">
      <c r="F544" s="121"/>
      <c r="G544" s="120"/>
    </row>
    <row r="545">
      <c r="F545" s="121"/>
      <c r="G545" s="120"/>
    </row>
    <row r="546">
      <c r="F546" s="121"/>
      <c r="G546" s="120"/>
    </row>
    <row r="547">
      <c r="F547" s="121"/>
      <c r="G547" s="120"/>
    </row>
    <row r="548">
      <c r="F548" s="121"/>
      <c r="G548" s="120"/>
    </row>
    <row r="549">
      <c r="F549" s="121"/>
      <c r="G549" s="120"/>
    </row>
    <row r="550">
      <c r="F550" s="121"/>
      <c r="G550" s="120"/>
    </row>
    <row r="551">
      <c r="F551" s="121"/>
      <c r="G551" s="120"/>
    </row>
    <row r="552">
      <c r="F552" s="121"/>
      <c r="G552" s="120"/>
    </row>
    <row r="553">
      <c r="F553" s="121"/>
      <c r="G553" s="120"/>
    </row>
    <row r="554">
      <c r="F554" s="121"/>
      <c r="G554" s="120"/>
    </row>
    <row r="555">
      <c r="F555" s="121"/>
      <c r="G555" s="120"/>
    </row>
    <row r="556">
      <c r="F556" s="121"/>
      <c r="G556" s="120"/>
    </row>
    <row r="557">
      <c r="F557" s="121"/>
      <c r="G557" s="120"/>
    </row>
    <row r="558">
      <c r="F558" s="121"/>
      <c r="G558" s="120"/>
    </row>
    <row r="559">
      <c r="F559" s="121"/>
      <c r="G559" s="120"/>
    </row>
    <row r="560">
      <c r="F560" s="121"/>
      <c r="G560" s="120"/>
    </row>
    <row r="561">
      <c r="F561" s="121"/>
      <c r="G561" s="120"/>
    </row>
    <row r="562">
      <c r="F562" s="121"/>
      <c r="G562" s="120"/>
    </row>
    <row r="563">
      <c r="F563" s="121"/>
      <c r="G563" s="120"/>
    </row>
    <row r="564">
      <c r="F564" s="121"/>
      <c r="G564" s="120"/>
    </row>
    <row r="565">
      <c r="F565" s="121"/>
      <c r="G565" s="120"/>
    </row>
    <row r="566">
      <c r="F566" s="121"/>
      <c r="G566" s="120"/>
    </row>
    <row r="567">
      <c r="F567" s="121"/>
      <c r="G567" s="120"/>
    </row>
    <row r="568">
      <c r="F568" s="121"/>
      <c r="G568" s="120"/>
    </row>
    <row r="569">
      <c r="F569" s="121"/>
      <c r="G569" s="120"/>
    </row>
    <row r="570">
      <c r="F570" s="121"/>
      <c r="G570" s="120"/>
    </row>
    <row r="571">
      <c r="F571" s="121"/>
      <c r="G571" s="120"/>
    </row>
    <row r="572">
      <c r="F572" s="121"/>
      <c r="G572" s="120"/>
    </row>
    <row r="573">
      <c r="F573" s="121"/>
      <c r="G573" s="120"/>
    </row>
    <row r="574">
      <c r="F574" s="121"/>
      <c r="G574" s="120"/>
    </row>
    <row r="575">
      <c r="F575" s="121"/>
      <c r="G575" s="120"/>
    </row>
    <row r="576">
      <c r="F576" s="121"/>
      <c r="G576" s="120"/>
    </row>
    <row r="577">
      <c r="F577" s="121"/>
      <c r="G577" s="120"/>
    </row>
    <row r="578">
      <c r="F578" s="121"/>
      <c r="G578" s="120"/>
    </row>
    <row r="579">
      <c r="F579" s="121"/>
      <c r="G579" s="120"/>
    </row>
    <row r="580">
      <c r="F580" s="121"/>
      <c r="G580" s="120"/>
    </row>
    <row r="581">
      <c r="F581" s="121"/>
      <c r="G581" s="120"/>
    </row>
    <row r="582">
      <c r="F582" s="121"/>
      <c r="G582" s="120"/>
    </row>
    <row r="583">
      <c r="F583" s="121"/>
      <c r="G583" s="120"/>
    </row>
    <row r="584">
      <c r="F584" s="121"/>
      <c r="G584" s="120"/>
    </row>
    <row r="585">
      <c r="F585" s="121"/>
      <c r="G585" s="120"/>
    </row>
    <row r="586">
      <c r="F586" s="121"/>
      <c r="G586" s="120"/>
    </row>
    <row r="587">
      <c r="F587" s="121"/>
      <c r="G587" s="120"/>
    </row>
    <row r="588">
      <c r="F588" s="121"/>
      <c r="G588" s="120"/>
    </row>
    <row r="589">
      <c r="F589" s="121"/>
      <c r="G589" s="120"/>
    </row>
    <row r="590">
      <c r="F590" s="121"/>
      <c r="G590" s="120"/>
    </row>
    <row r="591">
      <c r="F591" s="121"/>
      <c r="G591" s="120"/>
    </row>
    <row r="592">
      <c r="F592" s="121"/>
      <c r="G592" s="120"/>
    </row>
    <row r="593">
      <c r="F593" s="121"/>
      <c r="G593" s="120"/>
    </row>
    <row r="594">
      <c r="F594" s="121"/>
      <c r="G594" s="120"/>
    </row>
    <row r="595">
      <c r="F595" s="121"/>
      <c r="G595" s="120"/>
    </row>
    <row r="596">
      <c r="F596" s="121"/>
      <c r="G596" s="120"/>
    </row>
    <row r="597">
      <c r="F597" s="121"/>
      <c r="G597" s="120"/>
    </row>
    <row r="598">
      <c r="F598" s="121"/>
      <c r="G598" s="120"/>
    </row>
    <row r="599">
      <c r="F599" s="121"/>
      <c r="G599" s="120"/>
    </row>
    <row r="600">
      <c r="F600" s="121"/>
      <c r="G600" s="120"/>
    </row>
    <row r="601">
      <c r="F601" s="121"/>
      <c r="G601" s="120"/>
    </row>
    <row r="602">
      <c r="F602" s="121"/>
      <c r="G602" s="120"/>
    </row>
    <row r="603">
      <c r="F603" s="121"/>
      <c r="G603" s="120"/>
    </row>
    <row r="604">
      <c r="F604" s="121"/>
      <c r="G604" s="120"/>
    </row>
    <row r="605">
      <c r="F605" s="121"/>
      <c r="G605" s="120"/>
    </row>
    <row r="606">
      <c r="F606" s="121"/>
      <c r="G606" s="120"/>
    </row>
    <row r="607">
      <c r="F607" s="121"/>
      <c r="G607" s="120"/>
    </row>
    <row r="608">
      <c r="F608" s="121"/>
      <c r="G608" s="120"/>
    </row>
    <row r="609">
      <c r="F609" s="121"/>
      <c r="G609" s="120"/>
    </row>
    <row r="610">
      <c r="F610" s="121"/>
      <c r="G610" s="120"/>
    </row>
    <row r="611">
      <c r="F611" s="121"/>
      <c r="G611" s="120"/>
    </row>
    <row r="612">
      <c r="F612" s="121"/>
      <c r="G612" s="120"/>
    </row>
    <row r="613">
      <c r="F613" s="121"/>
      <c r="G613" s="120"/>
    </row>
    <row r="614">
      <c r="F614" s="121"/>
      <c r="G614" s="120"/>
    </row>
    <row r="615">
      <c r="F615" s="121"/>
      <c r="G615" s="120"/>
    </row>
    <row r="616">
      <c r="F616" s="121"/>
      <c r="G616" s="120"/>
    </row>
    <row r="617">
      <c r="F617" s="121"/>
      <c r="G617" s="120"/>
    </row>
    <row r="618">
      <c r="F618" s="121"/>
      <c r="G618" s="120"/>
    </row>
    <row r="619">
      <c r="F619" s="121"/>
      <c r="G619" s="120"/>
    </row>
    <row r="620">
      <c r="F620" s="121"/>
      <c r="G620" s="120"/>
    </row>
    <row r="621">
      <c r="F621" s="121"/>
      <c r="G621" s="120"/>
    </row>
    <row r="622">
      <c r="F622" s="121"/>
      <c r="G622" s="120"/>
    </row>
    <row r="623">
      <c r="F623" s="121"/>
      <c r="G623" s="120"/>
    </row>
    <row r="624">
      <c r="F624" s="121"/>
      <c r="G624" s="120"/>
    </row>
    <row r="625">
      <c r="F625" s="121"/>
      <c r="G625" s="120"/>
    </row>
    <row r="626">
      <c r="F626" s="121"/>
      <c r="G626" s="120"/>
    </row>
    <row r="627">
      <c r="F627" s="121"/>
      <c r="G627" s="120"/>
    </row>
    <row r="628">
      <c r="F628" s="121"/>
      <c r="G628" s="120"/>
    </row>
    <row r="629">
      <c r="F629" s="121"/>
      <c r="G629" s="120"/>
    </row>
    <row r="630">
      <c r="F630" s="121"/>
      <c r="G630" s="120"/>
    </row>
    <row r="631">
      <c r="F631" s="121"/>
      <c r="G631" s="120"/>
    </row>
    <row r="632">
      <c r="F632" s="121"/>
      <c r="G632" s="120"/>
    </row>
    <row r="633">
      <c r="F633" s="121"/>
      <c r="G633" s="120"/>
    </row>
    <row r="634">
      <c r="F634" s="121"/>
      <c r="G634" s="120"/>
    </row>
    <row r="635">
      <c r="F635" s="121"/>
      <c r="G635" s="120"/>
    </row>
    <row r="636">
      <c r="F636" s="121"/>
      <c r="G636" s="120"/>
    </row>
    <row r="637">
      <c r="F637" s="121"/>
      <c r="G637" s="120"/>
    </row>
    <row r="638">
      <c r="F638" s="121"/>
      <c r="G638" s="120"/>
    </row>
    <row r="639">
      <c r="F639" s="121"/>
      <c r="G639" s="120"/>
    </row>
    <row r="640">
      <c r="F640" s="121"/>
      <c r="G640" s="120"/>
    </row>
    <row r="641">
      <c r="F641" s="121"/>
      <c r="G641" s="120"/>
    </row>
    <row r="642">
      <c r="F642" s="121"/>
      <c r="G642" s="120"/>
    </row>
    <row r="643">
      <c r="F643" s="121"/>
      <c r="G643" s="120"/>
    </row>
    <row r="644">
      <c r="F644" s="121"/>
      <c r="G644" s="120"/>
    </row>
    <row r="645">
      <c r="F645" s="121"/>
      <c r="G645" s="120"/>
    </row>
    <row r="646">
      <c r="F646" s="121"/>
      <c r="G646" s="120"/>
    </row>
    <row r="647">
      <c r="F647" s="121"/>
      <c r="G647" s="120"/>
    </row>
    <row r="648">
      <c r="F648" s="121"/>
      <c r="G648" s="120"/>
    </row>
    <row r="649">
      <c r="F649" s="121"/>
      <c r="G649" s="120"/>
    </row>
    <row r="650">
      <c r="F650" s="121"/>
      <c r="G650" s="120"/>
    </row>
    <row r="651">
      <c r="F651" s="121"/>
      <c r="G651" s="120"/>
    </row>
    <row r="652">
      <c r="F652" s="121"/>
      <c r="G652" s="120"/>
    </row>
    <row r="653">
      <c r="F653" s="121"/>
      <c r="G653" s="120"/>
    </row>
    <row r="654">
      <c r="F654" s="121"/>
      <c r="G654" s="120"/>
    </row>
    <row r="655">
      <c r="F655" s="121"/>
      <c r="G655" s="120"/>
    </row>
    <row r="656">
      <c r="F656" s="121"/>
      <c r="G656" s="120"/>
    </row>
    <row r="657">
      <c r="F657" s="121"/>
      <c r="G657" s="120"/>
    </row>
    <row r="658">
      <c r="F658" s="121"/>
      <c r="G658" s="120"/>
    </row>
    <row r="659">
      <c r="F659" s="121"/>
      <c r="G659" s="120"/>
    </row>
    <row r="660">
      <c r="F660" s="121"/>
      <c r="G660" s="120"/>
    </row>
    <row r="661">
      <c r="F661" s="121"/>
      <c r="G661" s="120"/>
    </row>
    <row r="662">
      <c r="F662" s="121"/>
      <c r="G662" s="120"/>
    </row>
    <row r="663">
      <c r="F663" s="121"/>
      <c r="G663" s="120"/>
    </row>
    <row r="664">
      <c r="F664" s="121"/>
      <c r="G664" s="120"/>
    </row>
    <row r="665">
      <c r="F665" s="121"/>
      <c r="G665" s="120"/>
    </row>
    <row r="666">
      <c r="F666" s="121"/>
      <c r="G666" s="120"/>
    </row>
    <row r="667">
      <c r="F667" s="121"/>
      <c r="G667" s="120"/>
    </row>
    <row r="668">
      <c r="F668" s="121"/>
      <c r="G668" s="120"/>
    </row>
    <row r="669">
      <c r="F669" s="121"/>
      <c r="G669" s="120"/>
    </row>
    <row r="670">
      <c r="F670" s="121"/>
      <c r="G670" s="120"/>
    </row>
    <row r="671">
      <c r="F671" s="121"/>
      <c r="G671" s="120"/>
    </row>
    <row r="672">
      <c r="F672" s="121"/>
      <c r="G672" s="120"/>
    </row>
    <row r="673">
      <c r="F673" s="121"/>
      <c r="G673" s="120"/>
    </row>
    <row r="674">
      <c r="F674" s="121"/>
      <c r="G674" s="120"/>
    </row>
    <row r="675">
      <c r="F675" s="121"/>
      <c r="G675" s="120"/>
    </row>
    <row r="676">
      <c r="F676" s="121"/>
      <c r="G676" s="120"/>
    </row>
    <row r="677">
      <c r="F677" s="121"/>
      <c r="G677" s="120"/>
    </row>
    <row r="678">
      <c r="F678" s="121"/>
      <c r="G678" s="120"/>
    </row>
    <row r="679">
      <c r="F679" s="121"/>
      <c r="G679" s="120"/>
    </row>
    <row r="680">
      <c r="F680" s="121"/>
      <c r="G680" s="120"/>
    </row>
    <row r="681">
      <c r="F681" s="121"/>
      <c r="G681" s="120"/>
    </row>
    <row r="682">
      <c r="F682" s="121"/>
      <c r="G682" s="120"/>
    </row>
    <row r="683">
      <c r="F683" s="121"/>
      <c r="G683" s="120"/>
    </row>
    <row r="684">
      <c r="F684" s="121"/>
      <c r="G684" s="120"/>
    </row>
    <row r="685">
      <c r="F685" s="121"/>
      <c r="G685" s="120"/>
    </row>
    <row r="686">
      <c r="F686" s="121"/>
      <c r="G686" s="120"/>
    </row>
    <row r="687">
      <c r="F687" s="121"/>
      <c r="G687" s="120"/>
    </row>
    <row r="688">
      <c r="F688" s="121"/>
      <c r="G688" s="120"/>
    </row>
    <row r="689">
      <c r="F689" s="121"/>
      <c r="G689" s="120"/>
    </row>
    <row r="690">
      <c r="F690" s="121"/>
      <c r="G690" s="120"/>
    </row>
    <row r="691">
      <c r="F691" s="121"/>
      <c r="G691" s="120"/>
    </row>
    <row r="692">
      <c r="F692" s="121"/>
      <c r="G692" s="120"/>
    </row>
    <row r="693">
      <c r="F693" s="121"/>
      <c r="G693" s="120"/>
    </row>
    <row r="694">
      <c r="F694" s="121"/>
      <c r="G694" s="120"/>
    </row>
    <row r="695">
      <c r="F695" s="121"/>
      <c r="G695" s="120"/>
    </row>
    <row r="696">
      <c r="F696" s="121"/>
      <c r="G696" s="120"/>
    </row>
    <row r="697">
      <c r="F697" s="121"/>
      <c r="G697" s="120"/>
    </row>
    <row r="698">
      <c r="F698" s="121"/>
      <c r="G698" s="120"/>
    </row>
    <row r="699">
      <c r="F699" s="121"/>
      <c r="G699" s="120"/>
    </row>
    <row r="700">
      <c r="F700" s="121"/>
      <c r="G700" s="120"/>
    </row>
    <row r="701">
      <c r="F701" s="121"/>
      <c r="G701" s="120"/>
    </row>
    <row r="702">
      <c r="F702" s="121"/>
      <c r="G702" s="120"/>
    </row>
    <row r="703">
      <c r="F703" s="121"/>
      <c r="G703" s="120"/>
    </row>
    <row r="704">
      <c r="F704" s="121"/>
      <c r="G704" s="120"/>
    </row>
    <row r="705">
      <c r="F705" s="121"/>
      <c r="G705" s="120"/>
    </row>
    <row r="706">
      <c r="F706" s="121"/>
      <c r="G706" s="120"/>
    </row>
    <row r="707">
      <c r="F707" s="121"/>
      <c r="G707" s="120"/>
    </row>
    <row r="708">
      <c r="F708" s="121"/>
      <c r="G708" s="120"/>
    </row>
    <row r="709">
      <c r="F709" s="121"/>
      <c r="G709" s="120"/>
    </row>
    <row r="710">
      <c r="F710" s="121"/>
      <c r="G710" s="120"/>
    </row>
    <row r="711">
      <c r="F711" s="121"/>
      <c r="G711" s="120"/>
    </row>
    <row r="712">
      <c r="F712" s="121"/>
      <c r="G712" s="120"/>
    </row>
    <row r="713">
      <c r="F713" s="121"/>
      <c r="G713" s="120"/>
    </row>
    <row r="714">
      <c r="F714" s="121"/>
      <c r="G714" s="120"/>
    </row>
    <row r="715">
      <c r="F715" s="121"/>
      <c r="G715" s="120"/>
    </row>
    <row r="716">
      <c r="F716" s="121"/>
      <c r="G716" s="120"/>
    </row>
    <row r="717">
      <c r="F717" s="121"/>
      <c r="G717" s="120"/>
    </row>
    <row r="718">
      <c r="F718" s="121"/>
      <c r="G718" s="120"/>
    </row>
    <row r="719">
      <c r="F719" s="121"/>
      <c r="G719" s="120"/>
    </row>
    <row r="720">
      <c r="F720" s="121"/>
      <c r="G720" s="120"/>
    </row>
    <row r="721">
      <c r="F721" s="121"/>
      <c r="G721" s="120"/>
    </row>
    <row r="722">
      <c r="F722" s="121"/>
      <c r="G722" s="120"/>
    </row>
    <row r="723">
      <c r="F723" s="121"/>
      <c r="G723" s="120"/>
    </row>
    <row r="724">
      <c r="F724" s="121"/>
      <c r="G724" s="120"/>
    </row>
    <row r="725">
      <c r="F725" s="121"/>
      <c r="G725" s="120"/>
    </row>
    <row r="726">
      <c r="F726" s="121"/>
      <c r="G726" s="120"/>
    </row>
    <row r="727">
      <c r="F727" s="121"/>
      <c r="G727" s="120"/>
    </row>
    <row r="728">
      <c r="F728" s="121"/>
      <c r="G728" s="120"/>
    </row>
    <row r="729">
      <c r="F729" s="121"/>
      <c r="G729" s="120"/>
    </row>
    <row r="730">
      <c r="F730" s="121"/>
      <c r="G730" s="120"/>
    </row>
    <row r="731">
      <c r="F731" s="121"/>
      <c r="G731" s="120"/>
    </row>
    <row r="732">
      <c r="F732" s="121"/>
      <c r="G732" s="120"/>
    </row>
    <row r="733">
      <c r="F733" s="121"/>
      <c r="G733" s="120"/>
    </row>
    <row r="734">
      <c r="F734" s="121"/>
      <c r="G734" s="120"/>
    </row>
    <row r="735">
      <c r="F735" s="121"/>
      <c r="G735" s="120"/>
    </row>
    <row r="736">
      <c r="F736" s="121"/>
      <c r="G736" s="120"/>
    </row>
    <row r="737">
      <c r="F737" s="121"/>
      <c r="G737" s="120"/>
    </row>
    <row r="738">
      <c r="F738" s="121"/>
      <c r="G738" s="120"/>
    </row>
    <row r="739">
      <c r="F739" s="121"/>
      <c r="G739" s="120"/>
    </row>
    <row r="740">
      <c r="F740" s="121"/>
      <c r="G740" s="120"/>
    </row>
    <row r="741">
      <c r="F741" s="121"/>
      <c r="G741" s="120"/>
    </row>
    <row r="742">
      <c r="F742" s="121"/>
      <c r="G742" s="120"/>
    </row>
    <row r="743">
      <c r="F743" s="121"/>
      <c r="G743" s="120"/>
    </row>
    <row r="744">
      <c r="F744" s="121"/>
      <c r="G744" s="120"/>
    </row>
    <row r="745">
      <c r="F745" s="121"/>
      <c r="G745" s="120"/>
    </row>
    <row r="746">
      <c r="F746" s="121"/>
      <c r="G746" s="120"/>
    </row>
    <row r="747">
      <c r="F747" s="121"/>
      <c r="G747" s="120"/>
    </row>
    <row r="748">
      <c r="F748" s="121"/>
      <c r="G748" s="120"/>
    </row>
    <row r="749">
      <c r="F749" s="121"/>
      <c r="G749" s="120"/>
    </row>
    <row r="750">
      <c r="F750" s="121"/>
      <c r="G750" s="120"/>
    </row>
    <row r="751">
      <c r="F751" s="121"/>
      <c r="G751" s="120"/>
    </row>
    <row r="752">
      <c r="F752" s="121"/>
      <c r="G752" s="120"/>
    </row>
    <row r="753">
      <c r="F753" s="121"/>
      <c r="G753" s="120"/>
    </row>
    <row r="754">
      <c r="F754" s="121"/>
      <c r="G754" s="120"/>
    </row>
    <row r="755">
      <c r="F755" s="121"/>
      <c r="G755" s="120"/>
    </row>
    <row r="756">
      <c r="F756" s="121"/>
      <c r="G756" s="120"/>
    </row>
    <row r="757">
      <c r="F757" s="121"/>
      <c r="G757" s="120"/>
    </row>
    <row r="758">
      <c r="F758" s="121"/>
      <c r="G758" s="120"/>
    </row>
    <row r="759">
      <c r="F759" s="121"/>
      <c r="G759" s="120"/>
    </row>
    <row r="760">
      <c r="F760" s="121"/>
      <c r="G760" s="120"/>
    </row>
    <row r="761">
      <c r="F761" s="121"/>
      <c r="G761" s="120"/>
    </row>
    <row r="762">
      <c r="F762" s="121"/>
      <c r="G762" s="120"/>
    </row>
    <row r="763">
      <c r="F763" s="121"/>
      <c r="G763" s="120"/>
    </row>
    <row r="764">
      <c r="F764" s="121"/>
      <c r="G764" s="120"/>
    </row>
    <row r="765">
      <c r="F765" s="121"/>
      <c r="G765" s="120"/>
    </row>
    <row r="766">
      <c r="F766" s="121"/>
      <c r="G766" s="120"/>
    </row>
    <row r="767">
      <c r="F767" s="121"/>
      <c r="G767" s="120"/>
    </row>
    <row r="768">
      <c r="F768" s="121"/>
      <c r="G768" s="120"/>
    </row>
    <row r="769">
      <c r="F769" s="121"/>
      <c r="G769" s="120"/>
    </row>
    <row r="770">
      <c r="F770" s="121"/>
      <c r="G770" s="120"/>
    </row>
    <row r="771">
      <c r="F771" s="121"/>
      <c r="G771" s="120"/>
    </row>
    <row r="772">
      <c r="F772" s="121"/>
      <c r="G772" s="120"/>
    </row>
    <row r="773">
      <c r="F773" s="121"/>
      <c r="G773" s="120"/>
    </row>
    <row r="774">
      <c r="F774" s="121"/>
      <c r="G774" s="120"/>
    </row>
    <row r="775">
      <c r="F775" s="121"/>
      <c r="G775" s="120"/>
    </row>
    <row r="776">
      <c r="F776" s="121"/>
      <c r="G776" s="120"/>
    </row>
    <row r="777">
      <c r="F777" s="121"/>
      <c r="G777" s="120"/>
    </row>
    <row r="778">
      <c r="F778" s="121"/>
      <c r="G778" s="120"/>
    </row>
    <row r="779">
      <c r="F779" s="121"/>
      <c r="G779" s="120"/>
    </row>
    <row r="780">
      <c r="F780" s="121"/>
      <c r="G780" s="120"/>
    </row>
    <row r="781">
      <c r="F781" s="121"/>
      <c r="G781" s="120"/>
    </row>
    <row r="782">
      <c r="F782" s="121"/>
      <c r="G782" s="120"/>
    </row>
    <row r="783">
      <c r="F783" s="121"/>
      <c r="G783" s="120"/>
    </row>
    <row r="784">
      <c r="F784" s="121"/>
      <c r="G784" s="120"/>
    </row>
    <row r="785">
      <c r="F785" s="121"/>
      <c r="G785" s="120"/>
    </row>
    <row r="786">
      <c r="F786" s="121"/>
      <c r="G786" s="120"/>
    </row>
    <row r="787">
      <c r="F787" s="121"/>
      <c r="G787" s="120"/>
    </row>
    <row r="788">
      <c r="F788" s="121"/>
      <c r="G788" s="120"/>
    </row>
    <row r="789">
      <c r="F789" s="121"/>
      <c r="G789" s="120"/>
    </row>
    <row r="790">
      <c r="F790" s="121"/>
      <c r="G790" s="120"/>
    </row>
    <row r="791">
      <c r="F791" s="121"/>
      <c r="G791" s="120"/>
    </row>
    <row r="792">
      <c r="F792" s="121"/>
      <c r="G792" s="120"/>
    </row>
    <row r="793">
      <c r="F793" s="121"/>
      <c r="G793" s="120"/>
    </row>
    <row r="794">
      <c r="F794" s="121"/>
      <c r="G794" s="120"/>
    </row>
    <row r="795">
      <c r="F795" s="121"/>
      <c r="G795" s="120"/>
    </row>
    <row r="796">
      <c r="F796" s="121"/>
      <c r="G796" s="120"/>
    </row>
    <row r="797">
      <c r="F797" s="121"/>
      <c r="G797" s="120"/>
    </row>
    <row r="798">
      <c r="F798" s="121"/>
      <c r="G798" s="120"/>
    </row>
    <row r="799">
      <c r="F799" s="121"/>
      <c r="G799" s="120"/>
    </row>
    <row r="800">
      <c r="F800" s="121"/>
      <c r="G800" s="120"/>
    </row>
    <row r="801">
      <c r="F801" s="121"/>
      <c r="G801" s="120"/>
    </row>
    <row r="802">
      <c r="F802" s="121"/>
      <c r="G802" s="120"/>
    </row>
    <row r="803">
      <c r="F803" s="121"/>
      <c r="G803" s="120"/>
    </row>
    <row r="804">
      <c r="F804" s="121"/>
      <c r="G804" s="120"/>
    </row>
    <row r="805">
      <c r="F805" s="121"/>
      <c r="G805" s="120"/>
    </row>
    <row r="806">
      <c r="F806" s="121"/>
      <c r="G806" s="120"/>
    </row>
    <row r="807">
      <c r="F807" s="121"/>
      <c r="G807" s="120"/>
    </row>
    <row r="808">
      <c r="F808" s="121"/>
      <c r="G808" s="120"/>
    </row>
    <row r="809">
      <c r="F809" s="121"/>
      <c r="G809" s="120"/>
    </row>
    <row r="810">
      <c r="F810" s="121"/>
      <c r="G810" s="120"/>
    </row>
    <row r="811">
      <c r="F811" s="121"/>
      <c r="G811" s="120"/>
    </row>
    <row r="812">
      <c r="F812" s="121"/>
      <c r="G812" s="120"/>
    </row>
    <row r="813">
      <c r="F813" s="121"/>
      <c r="G813" s="120"/>
    </row>
    <row r="814">
      <c r="F814" s="121"/>
      <c r="G814" s="120"/>
    </row>
    <row r="815">
      <c r="F815" s="121"/>
      <c r="G815" s="120"/>
    </row>
    <row r="816">
      <c r="F816" s="121"/>
      <c r="G816" s="120"/>
    </row>
    <row r="817">
      <c r="F817" s="121"/>
      <c r="G817" s="120"/>
    </row>
    <row r="818">
      <c r="F818" s="121"/>
      <c r="G818" s="120"/>
    </row>
    <row r="819">
      <c r="F819" s="121"/>
      <c r="G819" s="120"/>
    </row>
    <row r="820">
      <c r="F820" s="121"/>
      <c r="G820" s="120"/>
    </row>
    <row r="821">
      <c r="F821" s="121"/>
      <c r="G821" s="120"/>
    </row>
    <row r="822">
      <c r="F822" s="121"/>
      <c r="G822" s="120"/>
    </row>
    <row r="823">
      <c r="F823" s="121"/>
      <c r="G823" s="120"/>
    </row>
    <row r="824">
      <c r="F824" s="121"/>
      <c r="G824" s="120"/>
    </row>
    <row r="825">
      <c r="F825" s="121"/>
      <c r="G825" s="120"/>
    </row>
    <row r="826">
      <c r="F826" s="121"/>
      <c r="G826" s="120"/>
    </row>
    <row r="827">
      <c r="F827" s="121"/>
      <c r="G827" s="120"/>
    </row>
    <row r="828">
      <c r="F828" s="121"/>
      <c r="G828" s="120"/>
    </row>
    <row r="829">
      <c r="F829" s="121"/>
      <c r="G829" s="120"/>
    </row>
    <row r="830">
      <c r="F830" s="121"/>
      <c r="G830" s="120"/>
    </row>
    <row r="831">
      <c r="F831" s="121"/>
      <c r="G831" s="120"/>
    </row>
    <row r="832">
      <c r="F832" s="121"/>
      <c r="G832" s="120"/>
    </row>
    <row r="833">
      <c r="F833" s="121"/>
      <c r="G833" s="120"/>
    </row>
    <row r="834">
      <c r="F834" s="121"/>
      <c r="G834" s="120"/>
    </row>
    <row r="835">
      <c r="F835" s="121"/>
      <c r="G835" s="120"/>
    </row>
    <row r="836">
      <c r="F836" s="121"/>
      <c r="G836" s="120"/>
    </row>
    <row r="837">
      <c r="F837" s="121"/>
      <c r="G837" s="120"/>
    </row>
    <row r="838">
      <c r="F838" s="121"/>
      <c r="G838" s="120"/>
    </row>
    <row r="839">
      <c r="F839" s="121"/>
      <c r="G839" s="120"/>
    </row>
    <row r="840">
      <c r="F840" s="121"/>
      <c r="G840" s="120"/>
    </row>
    <row r="841">
      <c r="F841" s="121"/>
      <c r="G841" s="120"/>
    </row>
    <row r="842">
      <c r="F842" s="121"/>
      <c r="G842" s="120"/>
    </row>
    <row r="843">
      <c r="F843" s="121"/>
      <c r="G843" s="120"/>
    </row>
    <row r="844">
      <c r="F844" s="121"/>
      <c r="G844" s="120"/>
    </row>
    <row r="845">
      <c r="F845" s="121"/>
      <c r="G845" s="120"/>
    </row>
    <row r="846">
      <c r="F846" s="121"/>
      <c r="G846" s="120"/>
    </row>
    <row r="847">
      <c r="F847" s="121"/>
      <c r="G847" s="120"/>
    </row>
    <row r="848">
      <c r="F848" s="121"/>
      <c r="G848" s="120"/>
    </row>
    <row r="849">
      <c r="F849" s="121"/>
      <c r="G849" s="120"/>
    </row>
    <row r="850">
      <c r="F850" s="121"/>
      <c r="G850" s="120"/>
    </row>
    <row r="851">
      <c r="F851" s="121"/>
      <c r="G851" s="120"/>
    </row>
    <row r="852">
      <c r="F852" s="121"/>
      <c r="G852" s="120"/>
    </row>
    <row r="853">
      <c r="F853" s="121"/>
      <c r="G853" s="120"/>
    </row>
    <row r="854">
      <c r="F854" s="121"/>
      <c r="G854" s="120"/>
    </row>
    <row r="855">
      <c r="F855" s="121"/>
      <c r="G855" s="120"/>
    </row>
    <row r="856">
      <c r="F856" s="121"/>
      <c r="G856" s="120"/>
    </row>
    <row r="857">
      <c r="F857" s="121"/>
      <c r="G857" s="120"/>
    </row>
    <row r="858">
      <c r="F858" s="121"/>
      <c r="G858" s="120"/>
    </row>
    <row r="859">
      <c r="F859" s="121"/>
      <c r="G859" s="120"/>
    </row>
    <row r="860">
      <c r="F860" s="121"/>
      <c r="G860" s="120"/>
    </row>
    <row r="861">
      <c r="F861" s="121"/>
      <c r="G861" s="120"/>
    </row>
    <row r="862">
      <c r="F862" s="121"/>
      <c r="G862" s="120"/>
    </row>
    <row r="863">
      <c r="F863" s="121"/>
      <c r="G863" s="120"/>
    </row>
    <row r="864">
      <c r="F864" s="121"/>
      <c r="G864" s="120"/>
    </row>
    <row r="865">
      <c r="F865" s="121"/>
      <c r="G865" s="120"/>
    </row>
    <row r="866">
      <c r="F866" s="121"/>
      <c r="G866" s="120"/>
    </row>
    <row r="867">
      <c r="F867" s="121"/>
      <c r="G867" s="120"/>
    </row>
    <row r="868">
      <c r="F868" s="121"/>
      <c r="G868" s="120"/>
    </row>
    <row r="869">
      <c r="F869" s="121"/>
      <c r="G869" s="120"/>
    </row>
    <row r="870">
      <c r="F870" s="121"/>
      <c r="G870" s="120"/>
    </row>
    <row r="871">
      <c r="F871" s="121"/>
      <c r="G871" s="120"/>
    </row>
    <row r="872">
      <c r="F872" s="121"/>
      <c r="G872" s="120"/>
    </row>
    <row r="873">
      <c r="F873" s="121"/>
      <c r="G873" s="120"/>
    </row>
    <row r="874">
      <c r="F874" s="121"/>
      <c r="G874" s="120"/>
    </row>
    <row r="875">
      <c r="F875" s="121"/>
      <c r="G875" s="120"/>
    </row>
    <row r="876">
      <c r="F876" s="121"/>
      <c r="G876" s="120"/>
    </row>
    <row r="877">
      <c r="F877" s="121"/>
      <c r="G877" s="120"/>
    </row>
    <row r="878">
      <c r="F878" s="121"/>
      <c r="G878" s="120"/>
    </row>
    <row r="879">
      <c r="F879" s="121"/>
      <c r="G879" s="120"/>
    </row>
    <row r="880">
      <c r="F880" s="121"/>
      <c r="G880" s="120"/>
    </row>
    <row r="881">
      <c r="F881" s="121"/>
      <c r="G881" s="120"/>
    </row>
    <row r="882">
      <c r="F882" s="121"/>
      <c r="G882" s="120"/>
    </row>
    <row r="883">
      <c r="F883" s="121"/>
      <c r="G883" s="120"/>
    </row>
    <row r="884">
      <c r="F884" s="121"/>
      <c r="G884" s="120"/>
    </row>
    <row r="885">
      <c r="F885" s="121"/>
      <c r="G885" s="120"/>
    </row>
    <row r="886">
      <c r="F886" s="121"/>
      <c r="G886" s="120"/>
    </row>
    <row r="887">
      <c r="F887" s="121"/>
      <c r="G887" s="120"/>
    </row>
    <row r="888">
      <c r="F888" s="121"/>
      <c r="G888" s="120"/>
    </row>
    <row r="889">
      <c r="F889" s="121"/>
      <c r="G889" s="120"/>
    </row>
    <row r="890">
      <c r="F890" s="121"/>
      <c r="G890" s="120"/>
    </row>
    <row r="891">
      <c r="F891" s="121"/>
      <c r="G891" s="120"/>
    </row>
    <row r="892">
      <c r="F892" s="121"/>
      <c r="G892" s="120"/>
    </row>
    <row r="893">
      <c r="F893" s="121"/>
      <c r="G893" s="120"/>
    </row>
    <row r="894">
      <c r="F894" s="121"/>
      <c r="G894" s="120"/>
    </row>
    <row r="895">
      <c r="F895" s="121"/>
      <c r="G895" s="120"/>
    </row>
    <row r="896">
      <c r="F896" s="121"/>
      <c r="G896" s="120"/>
    </row>
    <row r="897">
      <c r="F897" s="121"/>
      <c r="G897" s="120"/>
    </row>
    <row r="898">
      <c r="F898" s="121"/>
      <c r="G898" s="120"/>
    </row>
    <row r="899">
      <c r="F899" s="121"/>
      <c r="G899" s="120"/>
    </row>
    <row r="900">
      <c r="F900" s="121"/>
      <c r="G900" s="120"/>
    </row>
    <row r="901">
      <c r="F901" s="121"/>
      <c r="G901" s="120"/>
    </row>
    <row r="902">
      <c r="F902" s="121"/>
      <c r="G902" s="120"/>
    </row>
    <row r="903">
      <c r="F903" s="121"/>
      <c r="G903" s="120"/>
    </row>
    <row r="904">
      <c r="F904" s="121"/>
      <c r="G904" s="120"/>
    </row>
    <row r="905">
      <c r="F905" s="121"/>
      <c r="G905" s="120"/>
    </row>
    <row r="906">
      <c r="F906" s="121"/>
      <c r="G906" s="120"/>
    </row>
    <row r="907">
      <c r="F907" s="121"/>
      <c r="G907" s="120"/>
    </row>
    <row r="908">
      <c r="F908" s="121"/>
      <c r="G908" s="120"/>
    </row>
    <row r="909">
      <c r="F909" s="121"/>
      <c r="G909" s="120"/>
    </row>
    <row r="910">
      <c r="F910" s="121"/>
      <c r="G910" s="120"/>
    </row>
    <row r="911">
      <c r="F911" s="121"/>
      <c r="G911" s="120"/>
    </row>
    <row r="912">
      <c r="F912" s="121"/>
      <c r="G912" s="120"/>
    </row>
    <row r="913">
      <c r="F913" s="121"/>
      <c r="G913" s="120"/>
    </row>
    <row r="914">
      <c r="F914" s="121"/>
      <c r="G914" s="120"/>
    </row>
    <row r="915">
      <c r="F915" s="121"/>
      <c r="G915" s="120"/>
    </row>
    <row r="916">
      <c r="F916" s="121"/>
      <c r="G916" s="120"/>
    </row>
    <row r="917">
      <c r="F917" s="121"/>
      <c r="G917" s="120"/>
    </row>
    <row r="918">
      <c r="F918" s="121"/>
      <c r="G918" s="120"/>
    </row>
    <row r="919">
      <c r="F919" s="121"/>
      <c r="G919" s="120"/>
    </row>
    <row r="920">
      <c r="F920" s="121"/>
      <c r="G920" s="120"/>
    </row>
    <row r="921">
      <c r="F921" s="121"/>
      <c r="G921" s="120"/>
    </row>
    <row r="922">
      <c r="F922" s="121"/>
      <c r="G922" s="120"/>
    </row>
    <row r="923">
      <c r="F923" s="121"/>
      <c r="G923" s="120"/>
    </row>
    <row r="924">
      <c r="F924" s="121"/>
      <c r="G924" s="120"/>
    </row>
    <row r="925">
      <c r="F925" s="121"/>
      <c r="G925" s="120"/>
    </row>
    <row r="926">
      <c r="F926" s="121"/>
      <c r="G926" s="120"/>
    </row>
    <row r="927">
      <c r="F927" s="121"/>
      <c r="G927" s="120"/>
    </row>
    <row r="928">
      <c r="F928" s="121"/>
      <c r="G928" s="120"/>
    </row>
    <row r="929">
      <c r="F929" s="121"/>
      <c r="G929" s="120"/>
    </row>
  </sheetData>
  <dataValidations>
    <dataValidation type="list" allowBlank="1" sqref="F3:F50">
      <formula1>"OPEN,BLOCKED,PASSED,FAILED"</formula1>
    </dataValidation>
    <dataValidation type="list" allowBlank="1" sqref="F51:F68">
      <formula1>"OPEN,BLOCKED,PASSED,FAILED,REQUEST"</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4.13"/>
    <col customWidth="1" min="2" max="2" width="61.13"/>
    <col customWidth="1" min="3" max="3" width="50.13"/>
    <col customWidth="1" min="4" max="4" width="48.38"/>
    <col customWidth="1" min="5" max="5" width="56.63"/>
    <col customWidth="1" min="6" max="6" width="21.63"/>
    <col customWidth="1" min="7" max="7" width="22.75"/>
  </cols>
  <sheetData>
    <row r="1">
      <c r="A1" s="47" t="s">
        <v>41</v>
      </c>
      <c r="B1" s="97" t="s">
        <v>670</v>
      </c>
      <c r="C1" s="49"/>
      <c r="D1" s="49"/>
      <c r="E1" s="49"/>
      <c r="F1" s="98"/>
      <c r="G1" s="49"/>
    </row>
    <row r="2">
      <c r="A2" s="51" t="s">
        <v>14</v>
      </c>
      <c r="B2" s="51" t="s">
        <v>16</v>
      </c>
      <c r="C2" s="52" t="s">
        <v>18</v>
      </c>
      <c r="D2" s="52" t="s">
        <v>20</v>
      </c>
      <c r="E2" s="52" t="s">
        <v>219</v>
      </c>
      <c r="F2" s="52" t="s">
        <v>24</v>
      </c>
      <c r="G2" s="52" t="s">
        <v>26</v>
      </c>
    </row>
    <row r="3">
      <c r="A3" s="53" t="str">
        <f t="shared" ref="A3:A65" si="1">IF(B1&lt;&gt;"", "US-12-TC-" &amp; TEXT(COUNTA($B$3:B3), "00"), "")
</f>
        <v>US-12-TC-01</v>
      </c>
      <c r="B3" s="53" t="s">
        <v>631</v>
      </c>
      <c r="C3" s="54" t="s">
        <v>331</v>
      </c>
      <c r="D3" s="54" t="s">
        <v>451</v>
      </c>
      <c r="E3" s="55" t="s">
        <v>452</v>
      </c>
      <c r="F3" s="55" t="s">
        <v>50</v>
      </c>
      <c r="G3" s="55"/>
    </row>
    <row r="4">
      <c r="A4" s="53" t="str">
        <f t="shared" si="1"/>
        <v>US-12-TC-02</v>
      </c>
      <c r="B4" s="53" t="s">
        <v>453</v>
      </c>
      <c r="C4" s="54" t="s">
        <v>331</v>
      </c>
      <c r="D4" s="54" t="s">
        <v>451</v>
      </c>
      <c r="E4" s="55" t="s">
        <v>452</v>
      </c>
      <c r="F4" s="55" t="s">
        <v>50</v>
      </c>
      <c r="G4" s="55"/>
    </row>
    <row r="5">
      <c r="A5" s="53" t="str">
        <f t="shared" si="1"/>
        <v>US-12-TC-03</v>
      </c>
      <c r="B5" s="53" t="s">
        <v>454</v>
      </c>
      <c r="C5" s="54" t="s">
        <v>331</v>
      </c>
      <c r="D5" s="54" t="s">
        <v>451</v>
      </c>
      <c r="E5" s="55" t="s">
        <v>452</v>
      </c>
      <c r="F5" s="55" t="s">
        <v>50</v>
      </c>
      <c r="G5" s="55"/>
    </row>
    <row r="6">
      <c r="A6" s="53" t="str">
        <f t="shared" si="1"/>
        <v>US-12-TC-04</v>
      </c>
      <c r="B6" s="74" t="s">
        <v>632</v>
      </c>
      <c r="C6" s="75" t="s">
        <v>331</v>
      </c>
      <c r="D6" s="75" t="s">
        <v>456</v>
      </c>
      <c r="E6" s="76" t="s">
        <v>457</v>
      </c>
      <c r="F6" s="55" t="s">
        <v>50</v>
      </c>
      <c r="G6" s="77"/>
    </row>
    <row r="7">
      <c r="A7" s="53" t="str">
        <f t="shared" si="1"/>
        <v>US-12-TC-05</v>
      </c>
      <c r="B7" s="71" t="s">
        <v>342</v>
      </c>
      <c r="C7" s="72" t="s">
        <v>331</v>
      </c>
      <c r="D7" s="72" t="s">
        <v>458</v>
      </c>
      <c r="E7" s="71" t="s">
        <v>343</v>
      </c>
      <c r="F7" s="55" t="s">
        <v>50</v>
      </c>
      <c r="G7" s="73"/>
    </row>
    <row r="8">
      <c r="A8" s="53" t="str">
        <f t="shared" si="1"/>
        <v>US-12-TC-06</v>
      </c>
      <c r="B8" s="76" t="s">
        <v>344</v>
      </c>
      <c r="C8" s="75" t="s">
        <v>331</v>
      </c>
      <c r="D8" s="75" t="s">
        <v>459</v>
      </c>
      <c r="E8" s="76" t="s">
        <v>345</v>
      </c>
      <c r="F8" s="55" t="s">
        <v>50</v>
      </c>
      <c r="G8" s="77"/>
    </row>
    <row r="9">
      <c r="A9" s="53" t="str">
        <f t="shared" si="1"/>
        <v>US-12-TC-07</v>
      </c>
      <c r="B9" s="71" t="s">
        <v>346</v>
      </c>
      <c r="C9" s="72" t="s">
        <v>331</v>
      </c>
      <c r="D9" s="72" t="s">
        <v>460</v>
      </c>
      <c r="E9" s="71" t="s">
        <v>347</v>
      </c>
      <c r="F9" s="55" t="s">
        <v>50</v>
      </c>
      <c r="G9" s="73"/>
    </row>
    <row r="10">
      <c r="A10" s="53" t="str">
        <f t="shared" si="1"/>
        <v>US-12-TC-08</v>
      </c>
      <c r="B10" s="76" t="s">
        <v>461</v>
      </c>
      <c r="C10" s="75" t="s">
        <v>462</v>
      </c>
      <c r="D10" s="75" t="s">
        <v>456</v>
      </c>
      <c r="E10" s="76" t="s">
        <v>463</v>
      </c>
      <c r="F10" s="55" t="s">
        <v>50</v>
      </c>
      <c r="G10" s="77"/>
    </row>
    <row r="11">
      <c r="A11" s="53" t="str">
        <f t="shared" si="1"/>
        <v>US-12-TC-09</v>
      </c>
      <c r="B11" s="76" t="s">
        <v>467</v>
      </c>
      <c r="C11" s="75" t="s">
        <v>331</v>
      </c>
      <c r="D11" s="75" t="s">
        <v>468</v>
      </c>
      <c r="E11" s="76" t="s">
        <v>469</v>
      </c>
      <c r="F11" s="55" t="s">
        <v>50</v>
      </c>
      <c r="G11" s="77"/>
    </row>
    <row r="12">
      <c r="A12" s="53" t="str">
        <f t="shared" si="1"/>
        <v>US-12-TC-10</v>
      </c>
      <c r="B12" s="71" t="s">
        <v>348</v>
      </c>
      <c r="C12" s="72" t="s">
        <v>331</v>
      </c>
      <c r="D12" s="72" t="s">
        <v>470</v>
      </c>
      <c r="E12" s="71" t="s">
        <v>349</v>
      </c>
      <c r="F12" s="55" t="s">
        <v>50</v>
      </c>
      <c r="G12" s="73"/>
    </row>
    <row r="13">
      <c r="A13" s="53" t="str">
        <f t="shared" si="1"/>
        <v>US-12-TC-11</v>
      </c>
      <c r="B13" s="76" t="s">
        <v>471</v>
      </c>
      <c r="C13" s="75" t="s">
        <v>331</v>
      </c>
      <c r="D13" s="75" t="s">
        <v>351</v>
      </c>
      <c r="E13" s="76" t="s">
        <v>352</v>
      </c>
      <c r="F13" s="55" t="s">
        <v>50</v>
      </c>
      <c r="G13" s="77"/>
    </row>
    <row r="14">
      <c r="A14" s="53" t="str">
        <f t="shared" si="1"/>
        <v>US-12-TC-12</v>
      </c>
      <c r="B14" s="71" t="s">
        <v>472</v>
      </c>
      <c r="C14" s="72" t="s">
        <v>331</v>
      </c>
      <c r="D14" s="72" t="s">
        <v>355</v>
      </c>
      <c r="E14" s="71" t="s">
        <v>356</v>
      </c>
      <c r="F14" s="55" t="s">
        <v>50</v>
      </c>
      <c r="G14" s="73"/>
    </row>
    <row r="15">
      <c r="A15" s="53" t="str">
        <f t="shared" si="1"/>
        <v>US-12-TC-13</v>
      </c>
      <c r="B15" s="76" t="s">
        <v>473</v>
      </c>
      <c r="C15" s="75" t="s">
        <v>331</v>
      </c>
      <c r="D15" s="75" t="s">
        <v>358</v>
      </c>
      <c r="E15" s="76" t="s">
        <v>359</v>
      </c>
      <c r="F15" s="55" t="s">
        <v>50</v>
      </c>
      <c r="G15" s="77"/>
    </row>
    <row r="16">
      <c r="A16" s="53" t="str">
        <f t="shared" si="1"/>
        <v>US-12-TC-14</v>
      </c>
      <c r="B16" s="71" t="s">
        <v>474</v>
      </c>
      <c r="C16" s="72" t="s">
        <v>331</v>
      </c>
      <c r="D16" s="72" t="s">
        <v>361</v>
      </c>
      <c r="E16" s="71" t="s">
        <v>362</v>
      </c>
      <c r="F16" s="55" t="s">
        <v>50</v>
      </c>
      <c r="G16" s="73"/>
    </row>
    <row r="17">
      <c r="A17" s="53" t="str">
        <f t="shared" si="1"/>
        <v>US-12-TC-15</v>
      </c>
      <c r="B17" s="76" t="s">
        <v>475</v>
      </c>
      <c r="C17" s="75" t="s">
        <v>331</v>
      </c>
      <c r="D17" s="75" t="s">
        <v>365</v>
      </c>
      <c r="E17" s="76" t="s">
        <v>366</v>
      </c>
      <c r="F17" s="55" t="s">
        <v>50</v>
      </c>
      <c r="G17" s="77"/>
    </row>
    <row r="18">
      <c r="A18" s="53" t="str">
        <f t="shared" si="1"/>
        <v>US-12-TC-16</v>
      </c>
      <c r="B18" s="71" t="s">
        <v>476</v>
      </c>
      <c r="C18" s="72" t="s">
        <v>331</v>
      </c>
      <c r="D18" s="72" t="s">
        <v>368</v>
      </c>
      <c r="E18" s="71" t="s">
        <v>369</v>
      </c>
      <c r="F18" s="55" t="s">
        <v>50</v>
      </c>
      <c r="G18" s="73"/>
    </row>
    <row r="19">
      <c r="A19" s="53" t="str">
        <f t="shared" si="1"/>
        <v>US-12-TC-17</v>
      </c>
      <c r="B19" s="76" t="s">
        <v>477</v>
      </c>
      <c r="C19" s="75" t="s">
        <v>331</v>
      </c>
      <c r="D19" s="75" t="s">
        <v>371</v>
      </c>
      <c r="E19" s="76" t="s">
        <v>372</v>
      </c>
      <c r="F19" s="55" t="s">
        <v>50</v>
      </c>
      <c r="G19" s="77"/>
    </row>
    <row r="20">
      <c r="A20" s="53" t="str">
        <f t="shared" si="1"/>
        <v>US-12-TC-18</v>
      </c>
      <c r="B20" s="71" t="s">
        <v>478</v>
      </c>
      <c r="C20" s="72" t="s">
        <v>331</v>
      </c>
      <c r="D20" s="72" t="s">
        <v>375</v>
      </c>
      <c r="E20" s="71" t="s">
        <v>376</v>
      </c>
      <c r="F20" s="55" t="s">
        <v>50</v>
      </c>
      <c r="G20" s="73"/>
    </row>
    <row r="21">
      <c r="A21" s="53" t="str">
        <f t="shared" si="1"/>
        <v>US-12-TC-19</v>
      </c>
      <c r="B21" s="76" t="s">
        <v>480</v>
      </c>
      <c r="C21" s="75" t="s">
        <v>331</v>
      </c>
      <c r="D21" s="75" t="s">
        <v>379</v>
      </c>
      <c r="E21" s="76" t="s">
        <v>380</v>
      </c>
      <c r="F21" s="55" t="s">
        <v>50</v>
      </c>
      <c r="G21" s="77"/>
    </row>
    <row r="22">
      <c r="A22" s="53" t="str">
        <f t="shared" si="1"/>
        <v>US-12-TC-20</v>
      </c>
      <c r="B22" s="71" t="s">
        <v>481</v>
      </c>
      <c r="C22" s="72" t="s">
        <v>331</v>
      </c>
      <c r="D22" s="72" t="s">
        <v>383</v>
      </c>
      <c r="E22" s="71" t="s">
        <v>384</v>
      </c>
      <c r="F22" s="55" t="s">
        <v>50</v>
      </c>
      <c r="G22" s="73"/>
    </row>
    <row r="23">
      <c r="A23" s="53" t="str">
        <f t="shared" si="1"/>
        <v>US-12-TC-21</v>
      </c>
      <c r="B23" s="76" t="s">
        <v>482</v>
      </c>
      <c r="C23" s="75" t="s">
        <v>331</v>
      </c>
      <c r="D23" s="75" t="s">
        <v>386</v>
      </c>
      <c r="E23" s="76" t="s">
        <v>387</v>
      </c>
      <c r="F23" s="55" t="s">
        <v>50</v>
      </c>
      <c r="G23" s="77"/>
    </row>
    <row r="24">
      <c r="A24" s="53" t="str">
        <f t="shared" si="1"/>
        <v>US-12-TC-22</v>
      </c>
      <c r="B24" s="71" t="s">
        <v>388</v>
      </c>
      <c r="C24" s="72" t="s">
        <v>331</v>
      </c>
      <c r="D24" s="72" t="s">
        <v>389</v>
      </c>
      <c r="E24" s="71" t="s">
        <v>390</v>
      </c>
      <c r="F24" s="55" t="s">
        <v>50</v>
      </c>
      <c r="G24" s="73"/>
    </row>
    <row r="25">
      <c r="A25" s="53" t="str">
        <f t="shared" si="1"/>
        <v>US-12-TC-23</v>
      </c>
      <c r="B25" s="78" t="s">
        <v>483</v>
      </c>
      <c r="C25" s="72"/>
      <c r="D25" s="72"/>
      <c r="E25" s="71"/>
      <c r="F25" s="55" t="s">
        <v>50</v>
      </c>
      <c r="G25" s="73"/>
    </row>
    <row r="26">
      <c r="A26" s="53" t="str">
        <f t="shared" si="1"/>
        <v>US-12-TC-24</v>
      </c>
      <c r="B26" s="76" t="s">
        <v>392</v>
      </c>
      <c r="C26" s="75" t="s">
        <v>331</v>
      </c>
      <c r="D26" s="75" t="s">
        <v>393</v>
      </c>
      <c r="E26" s="76" t="s">
        <v>394</v>
      </c>
      <c r="F26" s="55" t="s">
        <v>50</v>
      </c>
      <c r="G26" s="77"/>
    </row>
    <row r="27">
      <c r="A27" s="53" t="str">
        <f t="shared" si="1"/>
        <v>US-12-TC-25</v>
      </c>
      <c r="B27" s="71" t="s">
        <v>633</v>
      </c>
      <c r="C27" s="72" t="s">
        <v>331</v>
      </c>
      <c r="D27" s="72" t="s">
        <v>397</v>
      </c>
      <c r="E27" s="71" t="s">
        <v>398</v>
      </c>
      <c r="F27" s="55" t="s">
        <v>50</v>
      </c>
      <c r="G27" s="73"/>
    </row>
    <row r="28">
      <c r="A28" s="53" t="str">
        <f t="shared" si="1"/>
        <v>US-12-TC-26</v>
      </c>
      <c r="B28" s="76" t="s">
        <v>399</v>
      </c>
      <c r="C28" s="75" t="s">
        <v>331</v>
      </c>
      <c r="D28" s="75" t="s">
        <v>400</v>
      </c>
      <c r="E28" s="76" t="s">
        <v>401</v>
      </c>
      <c r="F28" s="55" t="s">
        <v>50</v>
      </c>
      <c r="G28" s="77"/>
    </row>
    <row r="29">
      <c r="A29" s="53" t="str">
        <f t="shared" si="1"/>
        <v>US-12-TC-27</v>
      </c>
      <c r="B29" s="78" t="s">
        <v>484</v>
      </c>
      <c r="C29" s="72" t="s">
        <v>331</v>
      </c>
      <c r="D29" s="72" t="s">
        <v>403</v>
      </c>
      <c r="E29" s="71" t="s">
        <v>404</v>
      </c>
      <c r="F29" s="55" t="s">
        <v>50</v>
      </c>
      <c r="G29" s="73"/>
    </row>
    <row r="30">
      <c r="A30" s="53" t="str">
        <f t="shared" si="1"/>
        <v>US-12-TC-28</v>
      </c>
      <c r="B30" s="78" t="s">
        <v>485</v>
      </c>
      <c r="C30" s="72"/>
      <c r="D30" s="72"/>
      <c r="E30" s="71"/>
      <c r="F30" s="55" t="s">
        <v>50</v>
      </c>
      <c r="G30" s="73"/>
    </row>
    <row r="31">
      <c r="A31" s="53" t="str">
        <f t="shared" si="1"/>
        <v>US-12-TC-29</v>
      </c>
      <c r="B31" s="76" t="s">
        <v>405</v>
      </c>
      <c r="C31" s="75" t="s">
        <v>331</v>
      </c>
      <c r="D31" s="76" t="s">
        <v>406</v>
      </c>
      <c r="E31" s="76" t="s">
        <v>407</v>
      </c>
      <c r="F31" s="55" t="s">
        <v>50</v>
      </c>
      <c r="G31" s="77"/>
    </row>
    <row r="32">
      <c r="A32" s="53" t="str">
        <f t="shared" si="1"/>
        <v>US-12-TC-30</v>
      </c>
      <c r="B32" s="71" t="s">
        <v>410</v>
      </c>
      <c r="C32" s="72" t="s">
        <v>331</v>
      </c>
      <c r="D32" s="76" t="s">
        <v>411</v>
      </c>
      <c r="E32" s="71" t="s">
        <v>412</v>
      </c>
      <c r="F32" s="55" t="s">
        <v>50</v>
      </c>
      <c r="G32" s="73"/>
    </row>
    <row r="33">
      <c r="A33" s="53" t="str">
        <f t="shared" si="1"/>
        <v>US-12-TC-31</v>
      </c>
      <c r="B33" s="76" t="s">
        <v>486</v>
      </c>
      <c r="C33" s="75" t="s">
        <v>331</v>
      </c>
      <c r="D33" s="76" t="s">
        <v>487</v>
      </c>
      <c r="E33" s="76" t="s">
        <v>488</v>
      </c>
      <c r="F33" s="55" t="s">
        <v>50</v>
      </c>
      <c r="G33" s="77"/>
    </row>
    <row r="34">
      <c r="A34" s="53" t="str">
        <f t="shared" si="1"/>
        <v>US-12-TC-32</v>
      </c>
      <c r="B34" s="53" t="s">
        <v>489</v>
      </c>
      <c r="C34" s="54" t="s">
        <v>331</v>
      </c>
      <c r="D34" s="54" t="s">
        <v>451</v>
      </c>
      <c r="E34" s="55" t="s">
        <v>452</v>
      </c>
      <c r="F34" s="55" t="s">
        <v>50</v>
      </c>
      <c r="G34" s="56"/>
    </row>
    <row r="35">
      <c r="A35" s="53" t="str">
        <f t="shared" si="1"/>
        <v>US-12-TC-33</v>
      </c>
      <c r="B35" s="53" t="s">
        <v>588</v>
      </c>
      <c r="C35" s="54" t="s">
        <v>331</v>
      </c>
      <c r="D35" s="54" t="s">
        <v>451</v>
      </c>
      <c r="E35" s="55" t="s">
        <v>337</v>
      </c>
      <c r="F35" s="55" t="s">
        <v>50</v>
      </c>
      <c r="G35" s="56"/>
    </row>
    <row r="36">
      <c r="A36" s="53" t="str">
        <f t="shared" si="1"/>
        <v>US-12-TC-34</v>
      </c>
      <c r="B36" s="53" t="s">
        <v>490</v>
      </c>
      <c r="C36" s="54" t="s">
        <v>331</v>
      </c>
      <c r="D36" s="54" t="s">
        <v>451</v>
      </c>
      <c r="E36" s="55" t="s">
        <v>339</v>
      </c>
      <c r="F36" s="55" t="s">
        <v>50</v>
      </c>
      <c r="G36" s="56"/>
    </row>
    <row r="37">
      <c r="A37" s="53" t="str">
        <f t="shared" si="1"/>
        <v>US-12-TC-35</v>
      </c>
      <c r="B37" s="53" t="s">
        <v>491</v>
      </c>
      <c r="C37" s="54" t="s">
        <v>331</v>
      </c>
      <c r="D37" s="54" t="s">
        <v>451</v>
      </c>
      <c r="E37" s="55" t="s">
        <v>341</v>
      </c>
      <c r="F37" s="55" t="s">
        <v>50</v>
      </c>
      <c r="G37" s="56"/>
    </row>
    <row r="38">
      <c r="A38" s="53" t="str">
        <f t="shared" si="1"/>
        <v>US-12-TC-36</v>
      </c>
      <c r="B38" s="53" t="s">
        <v>492</v>
      </c>
      <c r="C38" s="54" t="s">
        <v>331</v>
      </c>
      <c r="D38" s="54" t="s">
        <v>451</v>
      </c>
      <c r="E38" s="55" t="s">
        <v>493</v>
      </c>
      <c r="F38" s="55" t="s">
        <v>50</v>
      </c>
      <c r="G38" s="56"/>
    </row>
    <row r="39">
      <c r="A39" s="53" t="str">
        <f t="shared" si="1"/>
        <v>US-12-TC-37</v>
      </c>
      <c r="B39" s="53" t="s">
        <v>494</v>
      </c>
      <c r="C39" s="54" t="s">
        <v>331</v>
      </c>
      <c r="D39" s="54" t="s">
        <v>451</v>
      </c>
      <c r="E39" s="55" t="s">
        <v>339</v>
      </c>
      <c r="F39" s="55" t="s">
        <v>50</v>
      </c>
      <c r="G39" s="56"/>
    </row>
    <row r="40">
      <c r="A40" s="53" t="str">
        <f t="shared" si="1"/>
        <v>US-12-TC-38</v>
      </c>
      <c r="B40" s="53" t="s">
        <v>495</v>
      </c>
      <c r="C40" s="54" t="s">
        <v>331</v>
      </c>
      <c r="D40" s="54" t="s">
        <v>451</v>
      </c>
      <c r="E40" s="55" t="s">
        <v>496</v>
      </c>
      <c r="F40" s="55" t="s">
        <v>50</v>
      </c>
      <c r="G40" s="56"/>
    </row>
    <row r="41">
      <c r="A41" s="53" t="str">
        <f t="shared" si="1"/>
        <v>US-12-TC-39</v>
      </c>
      <c r="B41" s="53" t="s">
        <v>497</v>
      </c>
      <c r="C41" s="54" t="s">
        <v>331</v>
      </c>
      <c r="D41" s="54" t="s">
        <v>451</v>
      </c>
      <c r="E41" s="55" t="s">
        <v>339</v>
      </c>
      <c r="F41" s="55" t="s">
        <v>50</v>
      </c>
      <c r="G41" s="56"/>
    </row>
    <row r="42">
      <c r="A42" s="53" t="str">
        <f t="shared" si="1"/>
        <v>US-12-TC-40</v>
      </c>
      <c r="B42" s="53" t="s">
        <v>498</v>
      </c>
      <c r="C42" s="54" t="s">
        <v>331</v>
      </c>
      <c r="D42" s="54" t="s">
        <v>451</v>
      </c>
      <c r="E42" s="55" t="s">
        <v>339</v>
      </c>
      <c r="F42" s="55" t="s">
        <v>50</v>
      </c>
      <c r="G42" s="56"/>
    </row>
    <row r="43">
      <c r="A43" s="53" t="str">
        <f t="shared" si="1"/>
        <v>US-12-TC-41</v>
      </c>
      <c r="B43" s="53" t="s">
        <v>499</v>
      </c>
      <c r="C43" s="54" t="s">
        <v>331</v>
      </c>
      <c r="D43" s="54" t="s">
        <v>451</v>
      </c>
      <c r="E43" s="55" t="s">
        <v>500</v>
      </c>
      <c r="F43" s="55" t="s">
        <v>50</v>
      </c>
      <c r="G43" s="56"/>
    </row>
    <row r="44">
      <c r="A44" s="53" t="str">
        <f t="shared" si="1"/>
        <v>US-12-TC-42</v>
      </c>
      <c r="B44" s="53" t="s">
        <v>413</v>
      </c>
      <c r="C44" s="54" t="s">
        <v>331</v>
      </c>
      <c r="D44" s="62" t="s">
        <v>414</v>
      </c>
      <c r="E44" s="55" t="s">
        <v>415</v>
      </c>
      <c r="F44" s="55" t="s">
        <v>50</v>
      </c>
      <c r="G44" s="56"/>
    </row>
    <row r="45">
      <c r="A45" s="53" t="str">
        <f t="shared" si="1"/>
        <v>US-12-TC-43</v>
      </c>
      <c r="B45" s="53" t="s">
        <v>416</v>
      </c>
      <c r="C45" s="54" t="s">
        <v>331</v>
      </c>
      <c r="D45" s="62" t="s">
        <v>417</v>
      </c>
      <c r="E45" s="55" t="s">
        <v>501</v>
      </c>
      <c r="F45" s="55" t="s">
        <v>50</v>
      </c>
      <c r="G45" s="56"/>
    </row>
    <row r="46">
      <c r="A46" s="53" t="str">
        <f t="shared" si="1"/>
        <v>US-12-TC-44</v>
      </c>
      <c r="B46" s="53" t="s">
        <v>419</v>
      </c>
      <c r="C46" s="54" t="s">
        <v>331</v>
      </c>
      <c r="D46" s="62" t="s">
        <v>420</v>
      </c>
      <c r="E46" s="55" t="s">
        <v>502</v>
      </c>
      <c r="F46" s="55" t="s">
        <v>50</v>
      </c>
      <c r="G46" s="56"/>
    </row>
    <row r="47">
      <c r="A47" s="53" t="str">
        <f t="shared" si="1"/>
        <v>US-12-TC-45</v>
      </c>
      <c r="B47" s="53" t="s">
        <v>422</v>
      </c>
      <c r="C47" s="54" t="s">
        <v>331</v>
      </c>
      <c r="D47" s="62" t="s">
        <v>420</v>
      </c>
      <c r="E47" s="55" t="s">
        <v>423</v>
      </c>
      <c r="F47" s="55" t="s">
        <v>50</v>
      </c>
      <c r="G47" s="56"/>
    </row>
    <row r="48">
      <c r="A48" s="53" t="str">
        <f t="shared" si="1"/>
        <v>US-12-TC-46</v>
      </c>
      <c r="B48" s="53" t="s">
        <v>419</v>
      </c>
      <c r="C48" s="54" t="s">
        <v>331</v>
      </c>
      <c r="D48" s="62" t="s">
        <v>508</v>
      </c>
      <c r="E48" s="55" t="s">
        <v>502</v>
      </c>
      <c r="F48" s="55" t="s">
        <v>50</v>
      </c>
      <c r="G48" s="56"/>
    </row>
    <row r="49">
      <c r="A49" s="53" t="str">
        <f t="shared" si="1"/>
        <v>US-12-TC-47</v>
      </c>
      <c r="B49" s="53" t="s">
        <v>422</v>
      </c>
      <c r="C49" s="54" t="s">
        <v>331</v>
      </c>
      <c r="D49" s="62" t="s">
        <v>508</v>
      </c>
      <c r="E49" s="55" t="s">
        <v>423</v>
      </c>
      <c r="F49" s="55" t="s">
        <v>50</v>
      </c>
      <c r="G49" s="56"/>
    </row>
    <row r="50">
      <c r="A50" s="53" t="str">
        <f t="shared" si="1"/>
        <v>US-12-TC-48</v>
      </c>
      <c r="B50" s="70" t="s">
        <v>671</v>
      </c>
      <c r="C50" s="54" t="s">
        <v>331</v>
      </c>
      <c r="D50" s="70" t="s">
        <v>431</v>
      </c>
      <c r="E50" s="70" t="s">
        <v>503</v>
      </c>
      <c r="F50" s="55" t="s">
        <v>50</v>
      </c>
      <c r="G50" s="55"/>
    </row>
    <row r="51">
      <c r="A51" s="53" t="str">
        <f t="shared" si="1"/>
        <v>US-12-TC-49</v>
      </c>
      <c r="B51" s="70" t="s">
        <v>672</v>
      </c>
      <c r="C51" s="54" t="s">
        <v>331</v>
      </c>
      <c r="D51" s="70" t="s">
        <v>431</v>
      </c>
      <c r="E51" s="70" t="s">
        <v>436</v>
      </c>
      <c r="F51" s="55" t="s">
        <v>50</v>
      </c>
      <c r="G51" s="55"/>
    </row>
    <row r="52">
      <c r="A52" s="53" t="str">
        <f t="shared" si="1"/>
        <v>US-12-TC-50</v>
      </c>
      <c r="B52" s="70" t="s">
        <v>673</v>
      </c>
      <c r="C52" s="54" t="s">
        <v>331</v>
      </c>
      <c r="D52" s="70" t="s">
        <v>431</v>
      </c>
      <c r="E52" s="70" t="s">
        <v>503</v>
      </c>
      <c r="F52" s="55" t="s">
        <v>50</v>
      </c>
      <c r="G52" s="77"/>
    </row>
    <row r="53">
      <c r="A53" s="53" t="str">
        <f t="shared" si="1"/>
        <v>US-12-TC-51</v>
      </c>
      <c r="B53" s="70" t="s">
        <v>674</v>
      </c>
      <c r="C53" s="54" t="s">
        <v>331</v>
      </c>
      <c r="D53" s="70" t="s">
        <v>431</v>
      </c>
      <c r="E53" s="70" t="s">
        <v>436</v>
      </c>
      <c r="F53" s="55" t="s">
        <v>50</v>
      </c>
      <c r="G53" s="73"/>
    </row>
    <row r="54">
      <c r="A54" s="53" t="str">
        <f t="shared" si="1"/>
        <v>US-12-TC-52</v>
      </c>
      <c r="B54" s="70" t="s">
        <v>675</v>
      </c>
      <c r="C54" s="54" t="s">
        <v>331</v>
      </c>
      <c r="D54" s="70" t="s">
        <v>431</v>
      </c>
      <c r="E54" s="70" t="s">
        <v>503</v>
      </c>
      <c r="F54" s="55" t="s">
        <v>50</v>
      </c>
      <c r="G54" s="77"/>
    </row>
    <row r="55">
      <c r="A55" s="53" t="str">
        <f t="shared" si="1"/>
        <v>US-12-TC-53</v>
      </c>
      <c r="B55" s="70" t="s">
        <v>676</v>
      </c>
      <c r="C55" s="54" t="s">
        <v>331</v>
      </c>
      <c r="D55" s="70" t="s">
        <v>431</v>
      </c>
      <c r="E55" s="70" t="s">
        <v>436</v>
      </c>
      <c r="F55" s="55" t="s">
        <v>50</v>
      </c>
      <c r="G55" s="73"/>
    </row>
    <row r="56">
      <c r="A56" s="53" t="str">
        <f t="shared" si="1"/>
        <v>US-12-TC-54</v>
      </c>
      <c r="B56" s="70" t="s">
        <v>677</v>
      </c>
      <c r="C56" s="54" t="s">
        <v>331</v>
      </c>
      <c r="D56" s="70" t="s">
        <v>431</v>
      </c>
      <c r="E56" s="70" t="s">
        <v>503</v>
      </c>
      <c r="F56" s="55" t="s">
        <v>50</v>
      </c>
      <c r="G56" s="77"/>
    </row>
    <row r="57">
      <c r="A57" s="53" t="str">
        <f t="shared" si="1"/>
        <v>US-12-TC-55</v>
      </c>
      <c r="B57" s="70" t="s">
        <v>678</v>
      </c>
      <c r="C57" s="54" t="s">
        <v>331</v>
      </c>
      <c r="D57" s="70" t="s">
        <v>431</v>
      </c>
      <c r="E57" s="70" t="s">
        <v>436</v>
      </c>
      <c r="F57" s="55" t="s">
        <v>50</v>
      </c>
      <c r="G57" s="77"/>
    </row>
    <row r="58">
      <c r="A58" s="53" t="str">
        <f t="shared" si="1"/>
        <v>US-12-TC-56</v>
      </c>
      <c r="B58" s="70" t="s">
        <v>679</v>
      </c>
      <c r="C58" s="54" t="s">
        <v>331</v>
      </c>
      <c r="D58" s="70" t="s">
        <v>431</v>
      </c>
      <c r="E58" s="70" t="s">
        <v>503</v>
      </c>
      <c r="F58" s="55" t="s">
        <v>50</v>
      </c>
      <c r="G58" s="77"/>
    </row>
    <row r="59">
      <c r="A59" s="53" t="str">
        <f t="shared" si="1"/>
        <v>US-12-TC-57</v>
      </c>
      <c r="B59" s="70" t="s">
        <v>680</v>
      </c>
      <c r="C59" s="54" t="s">
        <v>331</v>
      </c>
      <c r="D59" s="70" t="s">
        <v>431</v>
      </c>
      <c r="E59" s="70" t="s">
        <v>436</v>
      </c>
      <c r="F59" s="55" t="s">
        <v>50</v>
      </c>
      <c r="G59" s="73"/>
    </row>
    <row r="60">
      <c r="A60" s="53" t="str">
        <f t="shared" si="1"/>
        <v>US-12-TC-58</v>
      </c>
      <c r="B60" s="70" t="s">
        <v>681</v>
      </c>
      <c r="C60" s="54" t="s">
        <v>331</v>
      </c>
      <c r="D60" s="70" t="s">
        <v>431</v>
      </c>
      <c r="E60" s="70" t="s">
        <v>503</v>
      </c>
      <c r="F60" s="55" t="s">
        <v>50</v>
      </c>
      <c r="G60" s="77"/>
    </row>
    <row r="61">
      <c r="A61" s="53" t="str">
        <f t="shared" si="1"/>
        <v>US-12-TC-59</v>
      </c>
      <c r="B61" s="70" t="s">
        <v>682</v>
      </c>
      <c r="C61" s="54" t="s">
        <v>331</v>
      </c>
      <c r="D61" s="70" t="s">
        <v>431</v>
      </c>
      <c r="E61" s="70" t="s">
        <v>436</v>
      </c>
      <c r="F61" s="55" t="s">
        <v>50</v>
      </c>
      <c r="G61" s="73"/>
    </row>
    <row r="62">
      <c r="A62" s="53" t="str">
        <f t="shared" si="1"/>
        <v>US-12-TC-60</v>
      </c>
      <c r="B62" s="70" t="s">
        <v>683</v>
      </c>
      <c r="C62" s="54" t="s">
        <v>331</v>
      </c>
      <c r="D62" s="70" t="s">
        <v>431</v>
      </c>
      <c r="E62" s="70" t="s">
        <v>503</v>
      </c>
      <c r="F62" s="55" t="s">
        <v>50</v>
      </c>
      <c r="G62" s="77"/>
    </row>
    <row r="63">
      <c r="A63" s="53" t="str">
        <f t="shared" si="1"/>
        <v>US-12-TC-61</v>
      </c>
      <c r="B63" s="70" t="s">
        <v>684</v>
      </c>
      <c r="C63" s="54" t="s">
        <v>331</v>
      </c>
      <c r="D63" s="70" t="s">
        <v>431</v>
      </c>
      <c r="E63" s="70" t="s">
        <v>436</v>
      </c>
      <c r="F63" s="55" t="s">
        <v>50</v>
      </c>
      <c r="G63" s="73"/>
    </row>
    <row r="64">
      <c r="A64" s="53" t="str">
        <f t="shared" si="1"/>
        <v>US-12-TC-62</v>
      </c>
      <c r="B64" s="70" t="s">
        <v>685</v>
      </c>
      <c r="C64" s="54" t="s">
        <v>331</v>
      </c>
      <c r="D64" s="70" t="s">
        <v>431</v>
      </c>
      <c r="E64" s="70" t="s">
        <v>503</v>
      </c>
      <c r="F64" s="55" t="s">
        <v>50</v>
      </c>
      <c r="G64" s="77"/>
    </row>
    <row r="65">
      <c r="A65" s="53" t="str">
        <f t="shared" si="1"/>
        <v>US-12-TC-63</v>
      </c>
      <c r="B65" s="70" t="s">
        <v>686</v>
      </c>
      <c r="C65" s="54" t="s">
        <v>331</v>
      </c>
      <c r="D65" s="70" t="s">
        <v>431</v>
      </c>
      <c r="E65" s="70" t="s">
        <v>436</v>
      </c>
      <c r="F65" s="55" t="s">
        <v>50</v>
      </c>
      <c r="G65" s="73"/>
    </row>
    <row r="66">
      <c r="A66" s="76"/>
      <c r="B66" s="76"/>
      <c r="C66" s="75"/>
      <c r="D66" s="75"/>
      <c r="E66" s="76"/>
      <c r="F66" s="122"/>
      <c r="G66" s="77"/>
    </row>
    <row r="67">
      <c r="A67" s="71"/>
      <c r="B67" s="71"/>
      <c r="C67" s="72"/>
      <c r="D67" s="72"/>
      <c r="E67" s="71"/>
      <c r="F67" s="123"/>
      <c r="G67" s="73"/>
    </row>
    <row r="68">
      <c r="A68" s="76"/>
      <c r="B68" s="76"/>
      <c r="C68" s="75"/>
      <c r="D68" s="75"/>
      <c r="E68" s="76"/>
      <c r="F68" s="122"/>
      <c r="G68" s="77"/>
    </row>
    <row r="69">
      <c r="A69" s="71"/>
      <c r="B69" s="71"/>
      <c r="C69" s="72"/>
      <c r="D69" s="72"/>
      <c r="E69" s="71"/>
      <c r="F69" s="123"/>
      <c r="G69" s="73"/>
    </row>
    <row r="70">
      <c r="A70" s="71"/>
      <c r="B70" s="78"/>
      <c r="C70" s="72"/>
      <c r="D70" s="72"/>
      <c r="E70" s="71"/>
      <c r="F70" s="123"/>
      <c r="G70" s="73"/>
    </row>
    <row r="71">
      <c r="A71" s="76"/>
      <c r="B71" s="76"/>
      <c r="C71" s="75"/>
      <c r="D71" s="75"/>
      <c r="E71" s="76"/>
      <c r="F71" s="122"/>
      <c r="G71" s="77"/>
    </row>
    <row r="72">
      <c r="A72" s="71"/>
      <c r="B72" s="71"/>
      <c r="C72" s="72"/>
      <c r="D72" s="72"/>
      <c r="E72" s="71"/>
      <c r="F72" s="123"/>
      <c r="G72" s="73"/>
    </row>
    <row r="73">
      <c r="A73" s="76"/>
      <c r="B73" s="76"/>
      <c r="C73" s="75"/>
      <c r="D73" s="75"/>
      <c r="E73" s="76"/>
      <c r="F73" s="122"/>
      <c r="G73" s="77"/>
    </row>
    <row r="74">
      <c r="A74" s="71"/>
      <c r="B74" s="78"/>
      <c r="C74" s="72"/>
      <c r="D74" s="72"/>
      <c r="E74" s="71"/>
      <c r="F74" s="123"/>
      <c r="G74" s="73"/>
    </row>
    <row r="75">
      <c r="A75" s="71"/>
      <c r="B75" s="78"/>
      <c r="C75" s="72"/>
      <c r="D75" s="72"/>
      <c r="E75" s="71"/>
      <c r="F75" s="123"/>
      <c r="G75" s="73"/>
    </row>
    <row r="76">
      <c r="A76" s="76"/>
      <c r="B76" s="76"/>
      <c r="C76" s="75"/>
      <c r="D76" s="76"/>
      <c r="E76" s="76"/>
      <c r="F76" s="122"/>
      <c r="G76" s="77"/>
    </row>
    <row r="77">
      <c r="A77" s="71"/>
      <c r="B77" s="71"/>
      <c r="C77" s="72"/>
      <c r="D77" s="76"/>
      <c r="E77" s="71"/>
      <c r="F77" s="123"/>
      <c r="G77" s="73"/>
    </row>
    <row r="78">
      <c r="A78" s="76"/>
      <c r="B78" s="76"/>
      <c r="C78" s="75"/>
      <c r="D78" s="76"/>
      <c r="E78" s="76"/>
      <c r="F78" s="122"/>
      <c r="G78" s="77"/>
    </row>
    <row r="79">
      <c r="A79" s="53"/>
      <c r="B79" s="53"/>
      <c r="C79" s="54"/>
      <c r="D79" s="54"/>
      <c r="E79" s="55"/>
      <c r="F79" s="63"/>
      <c r="G79" s="56"/>
    </row>
    <row r="80">
      <c r="A80" s="53"/>
      <c r="B80" s="53"/>
      <c r="C80" s="54"/>
      <c r="D80" s="54"/>
      <c r="E80" s="55"/>
      <c r="F80" s="63"/>
      <c r="G80" s="56"/>
    </row>
    <row r="81">
      <c r="A81" s="53"/>
      <c r="B81" s="53"/>
      <c r="C81" s="54"/>
      <c r="D81" s="54"/>
      <c r="E81" s="55"/>
      <c r="F81" s="63"/>
      <c r="G81" s="56"/>
    </row>
    <row r="82">
      <c r="A82" s="53"/>
      <c r="B82" s="53"/>
      <c r="C82" s="54"/>
      <c r="D82" s="54"/>
      <c r="E82" s="55"/>
      <c r="F82" s="63"/>
      <c r="G82" s="56"/>
    </row>
    <row r="83">
      <c r="A83" s="53"/>
      <c r="B83" s="53"/>
      <c r="C83" s="54"/>
      <c r="D83" s="54"/>
      <c r="E83" s="55"/>
      <c r="F83" s="63"/>
      <c r="G83" s="56"/>
    </row>
    <row r="84">
      <c r="A84" s="53"/>
      <c r="B84" s="53"/>
      <c r="C84" s="54"/>
      <c r="D84" s="54"/>
      <c r="E84" s="55"/>
      <c r="F84" s="63"/>
      <c r="G84" s="56"/>
    </row>
    <row r="85">
      <c r="A85" s="53"/>
      <c r="B85" s="53"/>
      <c r="C85" s="54"/>
      <c r="D85" s="54"/>
      <c r="E85" s="55"/>
      <c r="F85" s="63"/>
      <c r="G85" s="56"/>
    </row>
    <row r="86">
      <c r="A86" s="53"/>
      <c r="B86" s="53"/>
      <c r="C86" s="54"/>
      <c r="D86" s="54"/>
      <c r="E86" s="55"/>
      <c r="F86" s="63"/>
      <c r="G86" s="56"/>
    </row>
    <row r="87">
      <c r="A87" s="53"/>
      <c r="B87" s="53"/>
      <c r="C87" s="54"/>
      <c r="D87" s="54"/>
      <c r="E87" s="55"/>
      <c r="F87" s="63"/>
      <c r="G87" s="56"/>
    </row>
    <row r="88">
      <c r="A88" s="53"/>
      <c r="B88" s="53"/>
      <c r="C88" s="54"/>
      <c r="D88" s="54"/>
      <c r="E88" s="55"/>
      <c r="F88" s="63"/>
      <c r="G88" s="56"/>
    </row>
    <row r="89">
      <c r="A89" s="53"/>
      <c r="B89" s="53"/>
      <c r="C89" s="54"/>
      <c r="D89" s="62"/>
      <c r="E89" s="55"/>
      <c r="F89" s="63"/>
      <c r="G89" s="56"/>
    </row>
    <row r="90">
      <c r="A90" s="53"/>
      <c r="B90" s="53"/>
      <c r="C90" s="54"/>
      <c r="D90" s="62"/>
      <c r="E90" s="55"/>
      <c r="F90" s="63"/>
      <c r="G90" s="56"/>
    </row>
    <row r="91">
      <c r="A91" s="53"/>
      <c r="B91" s="53"/>
      <c r="C91" s="54"/>
      <c r="D91" s="62"/>
      <c r="E91" s="55"/>
      <c r="F91" s="63"/>
      <c r="G91" s="56"/>
    </row>
    <row r="92">
      <c r="A92" s="53"/>
      <c r="B92" s="53"/>
      <c r="C92" s="54"/>
      <c r="D92" s="62"/>
      <c r="E92" s="55"/>
      <c r="F92" s="63"/>
      <c r="G92" s="56"/>
    </row>
    <row r="93">
      <c r="A93" s="53"/>
      <c r="B93" s="53"/>
      <c r="C93" s="54"/>
      <c r="D93" s="62"/>
      <c r="E93" s="55"/>
      <c r="F93" s="63"/>
      <c r="G93" s="56"/>
    </row>
    <row r="94">
      <c r="A94" s="53"/>
      <c r="B94" s="53"/>
      <c r="C94" s="54"/>
      <c r="D94" s="62"/>
      <c r="E94" s="55"/>
      <c r="F94" s="63"/>
      <c r="G94" s="56"/>
    </row>
    <row r="95">
      <c r="A95" s="47"/>
      <c r="B95" s="97"/>
      <c r="C95" s="49"/>
      <c r="D95" s="49"/>
      <c r="E95" s="49"/>
      <c r="F95" s="98"/>
      <c r="G95" s="49"/>
    </row>
    <row r="96">
      <c r="A96" s="51"/>
      <c r="B96" s="51"/>
      <c r="C96" s="52"/>
      <c r="D96" s="52"/>
      <c r="E96" s="52"/>
      <c r="F96" s="52"/>
      <c r="G96" s="52"/>
    </row>
    <row r="97">
      <c r="A97" s="53"/>
      <c r="B97" s="53"/>
      <c r="C97" s="54"/>
      <c r="D97" s="54"/>
      <c r="E97" s="55"/>
      <c r="F97" s="124"/>
      <c r="G97" s="55"/>
    </row>
    <row r="98">
      <c r="A98" s="53"/>
      <c r="B98" s="53"/>
      <c r="C98" s="54"/>
      <c r="D98" s="54"/>
      <c r="E98" s="55"/>
      <c r="F98" s="124"/>
      <c r="G98" s="55"/>
    </row>
    <row r="99">
      <c r="A99" s="53"/>
      <c r="B99" s="53"/>
      <c r="C99" s="54"/>
      <c r="D99" s="54"/>
      <c r="E99" s="55"/>
      <c r="F99" s="124"/>
      <c r="G99" s="55"/>
    </row>
    <row r="100">
      <c r="A100" s="76"/>
      <c r="B100" s="74"/>
      <c r="C100" s="75"/>
      <c r="D100" s="75"/>
      <c r="E100" s="76"/>
      <c r="F100" s="122"/>
      <c r="G100" s="77"/>
    </row>
    <row r="101">
      <c r="A101" s="71"/>
      <c r="B101" s="71"/>
      <c r="C101" s="72"/>
      <c r="D101" s="72"/>
      <c r="E101" s="71"/>
      <c r="F101" s="123"/>
      <c r="G101" s="73"/>
    </row>
    <row r="102">
      <c r="A102" s="76"/>
      <c r="B102" s="76"/>
      <c r="C102" s="75"/>
      <c r="D102" s="75"/>
      <c r="E102" s="76"/>
      <c r="F102" s="122"/>
      <c r="G102" s="77"/>
    </row>
    <row r="103">
      <c r="A103" s="71"/>
      <c r="B103" s="71"/>
      <c r="C103" s="72"/>
      <c r="D103" s="72"/>
      <c r="E103" s="71"/>
      <c r="F103" s="123"/>
      <c r="G103" s="73"/>
    </row>
    <row r="104">
      <c r="A104" s="76"/>
      <c r="B104" s="76"/>
      <c r="C104" s="75"/>
      <c r="D104" s="75"/>
      <c r="E104" s="76"/>
      <c r="F104" s="122"/>
      <c r="G104" s="77"/>
    </row>
    <row r="105">
      <c r="A105" s="76"/>
      <c r="B105" s="76"/>
      <c r="C105" s="75"/>
      <c r="D105" s="75"/>
      <c r="E105" s="76"/>
      <c r="F105" s="122"/>
      <c r="G105" s="77"/>
    </row>
    <row r="106">
      <c r="A106" s="71"/>
      <c r="B106" s="71"/>
      <c r="C106" s="72"/>
      <c r="D106" s="72"/>
      <c r="E106" s="71"/>
      <c r="F106" s="123"/>
      <c r="G106" s="73"/>
    </row>
    <row r="107">
      <c r="A107" s="76"/>
      <c r="B107" s="76"/>
      <c r="C107" s="75"/>
      <c r="D107" s="75"/>
      <c r="E107" s="76"/>
      <c r="F107" s="122"/>
      <c r="G107" s="77"/>
    </row>
    <row r="108">
      <c r="A108" s="71"/>
      <c r="B108" s="71"/>
      <c r="C108" s="72"/>
      <c r="D108" s="72"/>
      <c r="E108" s="71"/>
      <c r="F108" s="123"/>
      <c r="G108" s="73"/>
    </row>
    <row r="109">
      <c r="A109" s="76"/>
      <c r="B109" s="76"/>
      <c r="C109" s="75"/>
      <c r="D109" s="75"/>
      <c r="E109" s="76"/>
      <c r="F109" s="122"/>
      <c r="G109" s="77"/>
    </row>
    <row r="110">
      <c r="A110" s="71"/>
      <c r="B110" s="71"/>
      <c r="C110" s="72"/>
      <c r="D110" s="72"/>
      <c r="E110" s="71"/>
      <c r="F110" s="123"/>
      <c r="G110" s="73"/>
    </row>
    <row r="111">
      <c r="A111" s="76"/>
      <c r="B111" s="76"/>
      <c r="C111" s="75"/>
      <c r="D111" s="75"/>
      <c r="E111" s="76"/>
      <c r="F111" s="122"/>
      <c r="G111" s="77"/>
    </row>
    <row r="112">
      <c r="A112" s="71"/>
      <c r="B112" s="71"/>
      <c r="C112" s="72"/>
      <c r="D112" s="72"/>
      <c r="E112" s="71"/>
      <c r="F112" s="123"/>
      <c r="G112" s="73"/>
    </row>
    <row r="113">
      <c r="A113" s="76"/>
      <c r="B113" s="76"/>
      <c r="C113" s="75"/>
      <c r="D113" s="75"/>
      <c r="E113" s="76"/>
      <c r="F113" s="122"/>
      <c r="G113" s="77"/>
    </row>
    <row r="114">
      <c r="A114" s="71"/>
      <c r="B114" s="71"/>
      <c r="C114" s="72"/>
      <c r="D114" s="72"/>
      <c r="E114" s="71"/>
      <c r="F114" s="123"/>
      <c r="G114" s="73"/>
    </row>
    <row r="115">
      <c r="A115" s="76"/>
      <c r="B115" s="76"/>
      <c r="C115" s="75"/>
      <c r="D115" s="75"/>
      <c r="E115" s="76"/>
      <c r="F115" s="122"/>
      <c r="G115" s="77"/>
    </row>
    <row r="116">
      <c r="A116" s="71"/>
      <c r="B116" s="71"/>
      <c r="C116" s="72"/>
      <c r="D116" s="72"/>
      <c r="E116" s="71"/>
      <c r="F116" s="123"/>
      <c r="G116" s="73"/>
    </row>
    <row r="117">
      <c r="A117" s="76"/>
      <c r="B117" s="76"/>
      <c r="C117" s="75"/>
      <c r="D117" s="75"/>
      <c r="E117" s="76"/>
      <c r="F117" s="122"/>
      <c r="G117" s="77"/>
    </row>
    <row r="118">
      <c r="A118" s="71"/>
      <c r="B118" s="71"/>
      <c r="C118" s="72"/>
      <c r="D118" s="72"/>
      <c r="E118" s="71"/>
      <c r="F118" s="123"/>
      <c r="G118" s="73"/>
    </row>
    <row r="119">
      <c r="A119" s="71"/>
      <c r="B119" s="78"/>
      <c r="C119" s="72"/>
      <c r="D119" s="72"/>
      <c r="E119" s="71"/>
      <c r="F119" s="123"/>
      <c r="G119" s="73"/>
    </row>
    <row r="120">
      <c r="A120" s="76"/>
      <c r="B120" s="76"/>
      <c r="C120" s="75"/>
      <c r="D120" s="75"/>
      <c r="E120" s="76"/>
      <c r="F120" s="122"/>
      <c r="G120" s="77"/>
    </row>
    <row r="121">
      <c r="A121" s="71"/>
      <c r="B121" s="71"/>
      <c r="C121" s="72"/>
      <c r="D121" s="72"/>
      <c r="E121" s="71"/>
      <c r="F121" s="123"/>
      <c r="G121" s="73"/>
    </row>
    <row r="122">
      <c r="A122" s="76"/>
      <c r="B122" s="76"/>
      <c r="C122" s="75"/>
      <c r="D122" s="75"/>
      <c r="E122" s="76"/>
      <c r="F122" s="122"/>
      <c r="G122" s="77"/>
    </row>
    <row r="123">
      <c r="A123" s="71"/>
      <c r="B123" s="78"/>
      <c r="C123" s="72"/>
      <c r="D123" s="72"/>
      <c r="E123" s="71"/>
      <c r="F123" s="123"/>
      <c r="G123" s="73"/>
    </row>
    <row r="124">
      <c r="A124" s="71"/>
      <c r="B124" s="78"/>
      <c r="C124" s="72"/>
      <c r="D124" s="72"/>
      <c r="E124" s="71"/>
      <c r="F124" s="123"/>
      <c r="G124" s="73"/>
    </row>
    <row r="125">
      <c r="A125" s="76"/>
      <c r="B125" s="76"/>
      <c r="C125" s="75"/>
      <c r="D125" s="76"/>
      <c r="E125" s="76"/>
      <c r="F125" s="122"/>
      <c r="G125" s="77"/>
    </row>
    <row r="126">
      <c r="A126" s="71"/>
      <c r="B126" s="71"/>
      <c r="C126" s="72"/>
      <c r="D126" s="76"/>
      <c r="E126" s="71"/>
      <c r="F126" s="123"/>
      <c r="G126" s="73"/>
    </row>
    <row r="127">
      <c r="A127" s="76"/>
      <c r="B127" s="76"/>
      <c r="C127" s="75"/>
      <c r="D127" s="76"/>
      <c r="E127" s="76"/>
      <c r="F127" s="122"/>
      <c r="G127" s="77"/>
    </row>
    <row r="128">
      <c r="A128" s="53"/>
      <c r="B128" s="53"/>
      <c r="C128" s="54"/>
      <c r="D128" s="54"/>
      <c r="E128" s="55"/>
      <c r="F128" s="63"/>
      <c r="G128" s="56"/>
    </row>
    <row r="129">
      <c r="A129" s="53"/>
      <c r="B129" s="53"/>
      <c r="C129" s="54"/>
      <c r="D129" s="54"/>
      <c r="E129" s="55"/>
      <c r="F129" s="63"/>
      <c r="G129" s="56"/>
    </row>
    <row r="130">
      <c r="A130" s="53"/>
      <c r="B130" s="53"/>
      <c r="C130" s="54"/>
      <c r="D130" s="54"/>
      <c r="E130" s="55"/>
      <c r="F130" s="63"/>
      <c r="G130" s="56"/>
    </row>
    <row r="131">
      <c r="A131" s="53"/>
      <c r="B131" s="53"/>
      <c r="C131" s="54"/>
      <c r="D131" s="54"/>
      <c r="E131" s="55"/>
      <c r="F131" s="63"/>
      <c r="G131" s="56"/>
    </row>
    <row r="132">
      <c r="A132" s="53"/>
      <c r="B132" s="53"/>
      <c r="C132" s="54"/>
      <c r="D132" s="54"/>
      <c r="E132" s="55"/>
      <c r="F132" s="63"/>
      <c r="G132" s="56"/>
    </row>
    <row r="133">
      <c r="A133" s="53"/>
      <c r="B133" s="53"/>
      <c r="C133" s="54"/>
      <c r="D133" s="54"/>
      <c r="E133" s="55"/>
      <c r="F133" s="63"/>
      <c r="G133" s="56"/>
    </row>
    <row r="134">
      <c r="A134" s="53"/>
      <c r="B134" s="53"/>
      <c r="C134" s="54"/>
      <c r="D134" s="54"/>
      <c r="E134" s="55"/>
      <c r="F134" s="63"/>
      <c r="G134" s="56"/>
    </row>
    <row r="135">
      <c r="A135" s="53"/>
      <c r="B135" s="53"/>
      <c r="C135" s="54"/>
      <c r="D135" s="54"/>
      <c r="E135" s="55"/>
      <c r="F135" s="63"/>
      <c r="G135" s="56"/>
    </row>
    <row r="136">
      <c r="A136" s="53"/>
      <c r="B136" s="53"/>
      <c r="C136" s="54"/>
      <c r="D136" s="54"/>
      <c r="E136" s="55"/>
      <c r="F136" s="63"/>
      <c r="G136" s="56"/>
    </row>
    <row r="137">
      <c r="A137" s="53"/>
      <c r="B137" s="53"/>
      <c r="C137" s="54"/>
      <c r="D137" s="54"/>
      <c r="E137" s="55"/>
      <c r="F137" s="63"/>
      <c r="G137" s="56"/>
    </row>
    <row r="138">
      <c r="A138" s="53"/>
      <c r="B138" s="53"/>
      <c r="C138" s="54"/>
      <c r="D138" s="62"/>
      <c r="E138" s="55"/>
      <c r="F138" s="63"/>
      <c r="G138" s="56"/>
    </row>
    <row r="139">
      <c r="A139" s="53"/>
      <c r="B139" s="53"/>
      <c r="C139" s="54"/>
      <c r="D139" s="62"/>
      <c r="E139" s="55"/>
      <c r="F139" s="63"/>
      <c r="G139" s="56"/>
    </row>
    <row r="140">
      <c r="A140" s="53"/>
      <c r="B140" s="53"/>
      <c r="C140" s="54"/>
      <c r="D140" s="62"/>
      <c r="E140" s="55"/>
      <c r="F140" s="63"/>
      <c r="G140" s="56"/>
    </row>
    <row r="141">
      <c r="A141" s="53"/>
      <c r="B141" s="53"/>
      <c r="C141" s="54"/>
      <c r="D141" s="62"/>
      <c r="E141" s="55"/>
      <c r="F141" s="63"/>
      <c r="G141" s="56"/>
    </row>
    <row r="142">
      <c r="A142" s="53"/>
      <c r="B142" s="53"/>
      <c r="C142" s="54"/>
      <c r="D142" s="62"/>
      <c r="E142" s="55"/>
      <c r="F142" s="63"/>
      <c r="G142" s="56"/>
    </row>
    <row r="143">
      <c r="A143" s="53"/>
      <c r="B143" s="53"/>
      <c r="C143" s="54"/>
      <c r="D143" s="62"/>
      <c r="E143" s="55"/>
      <c r="F143" s="63"/>
      <c r="G143" s="56"/>
    </row>
    <row r="144">
      <c r="A144" s="47"/>
      <c r="B144" s="97"/>
      <c r="C144" s="49"/>
      <c r="D144" s="49"/>
      <c r="E144" s="49"/>
      <c r="F144" s="98"/>
      <c r="G144" s="49"/>
    </row>
    <row r="145">
      <c r="A145" s="51"/>
      <c r="B145" s="51"/>
      <c r="C145" s="52"/>
      <c r="D145" s="52"/>
      <c r="E145" s="52"/>
      <c r="F145" s="52"/>
      <c r="G145" s="52"/>
    </row>
    <row r="146">
      <c r="A146" s="53"/>
      <c r="B146" s="53"/>
      <c r="C146" s="54"/>
      <c r="D146" s="54"/>
      <c r="E146" s="55"/>
      <c r="F146" s="124"/>
      <c r="G146" s="55"/>
    </row>
    <row r="147">
      <c r="A147" s="53"/>
      <c r="B147" s="53"/>
      <c r="C147" s="54"/>
      <c r="D147" s="54"/>
      <c r="E147" s="55"/>
      <c r="F147" s="124"/>
      <c r="G147" s="55"/>
    </row>
    <row r="148">
      <c r="A148" s="53"/>
      <c r="B148" s="53"/>
      <c r="C148" s="54"/>
      <c r="D148" s="54"/>
      <c r="E148" s="55"/>
      <c r="F148" s="124"/>
      <c r="G148" s="55"/>
    </row>
    <row r="149">
      <c r="A149" s="76"/>
      <c r="B149" s="74"/>
      <c r="C149" s="75"/>
      <c r="D149" s="75"/>
      <c r="E149" s="76"/>
      <c r="F149" s="122"/>
      <c r="G149" s="77"/>
    </row>
    <row r="150">
      <c r="A150" s="71"/>
      <c r="B150" s="71"/>
      <c r="C150" s="72"/>
      <c r="D150" s="72"/>
      <c r="E150" s="71"/>
      <c r="F150" s="123"/>
      <c r="G150" s="73"/>
    </row>
    <row r="151">
      <c r="A151" s="76"/>
      <c r="B151" s="76"/>
      <c r="C151" s="75"/>
      <c r="D151" s="75"/>
      <c r="E151" s="76"/>
      <c r="F151" s="122"/>
      <c r="G151" s="77"/>
    </row>
    <row r="152">
      <c r="A152" s="71"/>
      <c r="B152" s="71"/>
      <c r="C152" s="72"/>
      <c r="D152" s="72"/>
      <c r="E152" s="71"/>
      <c r="F152" s="123"/>
      <c r="G152" s="73"/>
    </row>
    <row r="153">
      <c r="A153" s="76"/>
      <c r="B153" s="76"/>
      <c r="C153" s="75"/>
      <c r="D153" s="75"/>
      <c r="E153" s="76"/>
      <c r="F153" s="122"/>
      <c r="G153" s="77"/>
    </row>
    <row r="154">
      <c r="A154" s="76"/>
      <c r="B154" s="76"/>
      <c r="C154" s="75"/>
      <c r="D154" s="75"/>
      <c r="E154" s="76"/>
      <c r="F154" s="122"/>
      <c r="G154" s="77"/>
    </row>
    <row r="155">
      <c r="A155" s="71"/>
      <c r="B155" s="71"/>
      <c r="C155" s="72"/>
      <c r="D155" s="72"/>
      <c r="E155" s="71"/>
      <c r="F155" s="123"/>
      <c r="G155" s="73"/>
    </row>
    <row r="156">
      <c r="A156" s="76"/>
      <c r="B156" s="76"/>
      <c r="C156" s="75"/>
      <c r="D156" s="75"/>
      <c r="E156" s="76"/>
      <c r="F156" s="122"/>
      <c r="G156" s="77"/>
    </row>
    <row r="157">
      <c r="A157" s="71"/>
      <c r="B157" s="71"/>
      <c r="C157" s="72"/>
      <c r="D157" s="72"/>
      <c r="E157" s="71"/>
      <c r="F157" s="123"/>
      <c r="G157" s="73"/>
    </row>
    <row r="158">
      <c r="A158" s="76"/>
      <c r="B158" s="76"/>
      <c r="C158" s="75"/>
      <c r="D158" s="75"/>
      <c r="E158" s="76"/>
      <c r="F158" s="122"/>
      <c r="G158" s="77"/>
    </row>
    <row r="159">
      <c r="A159" s="71"/>
      <c r="B159" s="71"/>
      <c r="C159" s="72"/>
      <c r="D159" s="72"/>
      <c r="E159" s="71"/>
      <c r="F159" s="123"/>
      <c r="G159" s="73"/>
    </row>
    <row r="160">
      <c r="A160" s="76"/>
      <c r="B160" s="76"/>
      <c r="C160" s="75"/>
      <c r="D160" s="75"/>
      <c r="E160" s="76"/>
      <c r="F160" s="122"/>
      <c r="G160" s="77"/>
    </row>
    <row r="161">
      <c r="A161" s="71"/>
      <c r="B161" s="71"/>
      <c r="C161" s="72"/>
      <c r="D161" s="72"/>
      <c r="E161" s="71"/>
      <c r="F161" s="123"/>
      <c r="G161" s="73"/>
    </row>
    <row r="162">
      <c r="A162" s="76"/>
      <c r="B162" s="76"/>
      <c r="C162" s="75"/>
      <c r="D162" s="75"/>
      <c r="E162" s="76"/>
      <c r="F162" s="122"/>
      <c r="G162" s="77"/>
    </row>
    <row r="163">
      <c r="A163" s="71"/>
      <c r="B163" s="71"/>
      <c r="C163" s="72"/>
      <c r="D163" s="72"/>
      <c r="E163" s="71"/>
      <c r="F163" s="123"/>
      <c r="G163" s="73"/>
    </row>
    <row r="164">
      <c r="A164" s="76"/>
      <c r="B164" s="76"/>
      <c r="C164" s="75"/>
      <c r="D164" s="75"/>
      <c r="E164" s="76"/>
      <c r="F164" s="122"/>
      <c r="G164" s="77"/>
    </row>
    <row r="165">
      <c r="A165" s="71"/>
      <c r="B165" s="71"/>
      <c r="C165" s="72"/>
      <c r="D165" s="72"/>
      <c r="E165" s="71"/>
      <c r="F165" s="123"/>
      <c r="G165" s="73"/>
    </row>
    <row r="166">
      <c r="A166" s="76"/>
      <c r="B166" s="76"/>
      <c r="C166" s="75"/>
      <c r="D166" s="75"/>
      <c r="E166" s="76"/>
      <c r="F166" s="122"/>
      <c r="G166" s="77"/>
    </row>
    <row r="167">
      <c r="A167" s="71"/>
      <c r="B167" s="71"/>
      <c r="C167" s="72"/>
      <c r="D167" s="72"/>
      <c r="E167" s="71"/>
      <c r="F167" s="123"/>
      <c r="G167" s="73"/>
    </row>
    <row r="168">
      <c r="A168" s="71"/>
      <c r="B168" s="78"/>
      <c r="C168" s="72"/>
      <c r="D168" s="72"/>
      <c r="E168" s="71"/>
      <c r="F168" s="123"/>
      <c r="G168" s="73"/>
    </row>
    <row r="169">
      <c r="A169" s="76"/>
      <c r="B169" s="76"/>
      <c r="C169" s="75"/>
      <c r="D169" s="75"/>
      <c r="E169" s="76"/>
      <c r="F169" s="122"/>
      <c r="G169" s="77"/>
    </row>
    <row r="170">
      <c r="A170" s="71"/>
      <c r="B170" s="71"/>
      <c r="C170" s="72"/>
      <c r="D170" s="72"/>
      <c r="E170" s="71"/>
      <c r="F170" s="123"/>
      <c r="G170" s="73"/>
    </row>
    <row r="171">
      <c r="A171" s="76"/>
      <c r="B171" s="76"/>
      <c r="C171" s="75"/>
      <c r="D171" s="75"/>
      <c r="E171" s="76"/>
      <c r="F171" s="122"/>
      <c r="G171" s="77"/>
    </row>
    <row r="172">
      <c r="A172" s="71"/>
      <c r="B172" s="78"/>
      <c r="C172" s="72"/>
      <c r="D172" s="72"/>
      <c r="E172" s="71"/>
      <c r="F172" s="123"/>
      <c r="G172" s="73"/>
    </row>
    <row r="173">
      <c r="A173" s="71"/>
      <c r="B173" s="78"/>
      <c r="C173" s="72"/>
      <c r="D173" s="72"/>
      <c r="E173" s="71"/>
      <c r="F173" s="123"/>
      <c r="G173" s="73"/>
    </row>
    <row r="174">
      <c r="A174" s="76"/>
      <c r="B174" s="76"/>
      <c r="C174" s="75"/>
      <c r="D174" s="76"/>
      <c r="E174" s="76"/>
      <c r="F174" s="122"/>
      <c r="G174" s="77"/>
    </row>
    <row r="175">
      <c r="A175" s="71"/>
      <c r="B175" s="71"/>
      <c r="C175" s="72"/>
      <c r="D175" s="76"/>
      <c r="E175" s="71"/>
      <c r="F175" s="123"/>
      <c r="G175" s="73"/>
    </row>
    <row r="176">
      <c r="A176" s="76"/>
      <c r="B176" s="76"/>
      <c r="C176" s="75"/>
      <c r="D176" s="76"/>
      <c r="E176" s="76"/>
      <c r="F176" s="122"/>
      <c r="G176" s="77"/>
    </row>
    <row r="177">
      <c r="A177" s="53"/>
      <c r="B177" s="53"/>
      <c r="C177" s="54"/>
      <c r="D177" s="54"/>
      <c r="E177" s="55"/>
      <c r="F177" s="63"/>
      <c r="G177" s="56"/>
    </row>
    <row r="178">
      <c r="A178" s="53"/>
      <c r="B178" s="53"/>
      <c r="C178" s="54"/>
      <c r="D178" s="54"/>
      <c r="E178" s="55"/>
      <c r="F178" s="63"/>
      <c r="G178" s="56"/>
    </row>
    <row r="179">
      <c r="A179" s="53"/>
      <c r="B179" s="53"/>
      <c r="C179" s="54"/>
      <c r="D179" s="54"/>
      <c r="E179" s="55"/>
      <c r="F179" s="63"/>
      <c r="G179" s="56"/>
    </row>
    <row r="180">
      <c r="A180" s="53"/>
      <c r="B180" s="53"/>
      <c r="C180" s="54"/>
      <c r="D180" s="54"/>
      <c r="E180" s="55"/>
      <c r="F180" s="63"/>
      <c r="G180" s="56"/>
    </row>
    <row r="181">
      <c r="A181" s="53"/>
      <c r="B181" s="53"/>
      <c r="C181" s="54"/>
      <c r="D181" s="54"/>
      <c r="E181" s="55"/>
      <c r="F181" s="63"/>
      <c r="G181" s="56"/>
    </row>
    <row r="182">
      <c r="A182" s="53"/>
      <c r="B182" s="53"/>
      <c r="C182" s="54"/>
      <c r="D182" s="54"/>
      <c r="E182" s="55"/>
      <c r="F182" s="63"/>
      <c r="G182" s="56"/>
    </row>
    <row r="183">
      <c r="A183" s="53"/>
      <c r="B183" s="53"/>
      <c r="C183" s="54"/>
      <c r="D183" s="54"/>
      <c r="E183" s="55"/>
      <c r="F183" s="63"/>
      <c r="G183" s="56"/>
    </row>
    <row r="184">
      <c r="A184" s="53"/>
      <c r="B184" s="53"/>
      <c r="C184" s="54"/>
      <c r="D184" s="54"/>
      <c r="E184" s="55"/>
      <c r="F184" s="63"/>
      <c r="G184" s="56"/>
    </row>
    <row r="185">
      <c r="A185" s="53"/>
      <c r="B185" s="53"/>
      <c r="C185" s="54"/>
      <c r="D185" s="54"/>
      <c r="E185" s="55"/>
      <c r="F185" s="63"/>
      <c r="G185" s="56"/>
    </row>
    <row r="186">
      <c r="A186" s="53"/>
      <c r="B186" s="53"/>
      <c r="C186" s="54"/>
      <c r="D186" s="54"/>
      <c r="E186" s="55"/>
      <c r="F186" s="63"/>
      <c r="G186" s="56"/>
    </row>
    <row r="187">
      <c r="A187" s="53"/>
      <c r="B187" s="53"/>
      <c r="C187" s="54"/>
      <c r="D187" s="62"/>
      <c r="E187" s="55"/>
      <c r="F187" s="63"/>
      <c r="G187" s="56"/>
    </row>
    <row r="188">
      <c r="A188" s="53"/>
      <c r="B188" s="53"/>
      <c r="C188" s="54"/>
      <c r="D188" s="62"/>
      <c r="E188" s="55"/>
      <c r="F188" s="63"/>
      <c r="G188" s="56"/>
    </row>
    <row r="189">
      <c r="A189" s="53"/>
      <c r="B189" s="53"/>
      <c r="C189" s="54"/>
      <c r="D189" s="62"/>
      <c r="E189" s="55"/>
      <c r="F189" s="63"/>
      <c r="G189" s="56"/>
    </row>
    <row r="190">
      <c r="A190" s="53"/>
      <c r="B190" s="53"/>
      <c r="C190" s="54"/>
      <c r="D190" s="62"/>
      <c r="E190" s="55"/>
      <c r="F190" s="63"/>
      <c r="G190" s="56"/>
    </row>
    <row r="191">
      <c r="A191" s="53"/>
      <c r="B191" s="53"/>
      <c r="C191" s="54"/>
      <c r="D191" s="62"/>
      <c r="E191" s="55"/>
      <c r="F191" s="63"/>
      <c r="G191" s="56"/>
    </row>
    <row r="192">
      <c r="A192" s="53"/>
      <c r="B192" s="53"/>
      <c r="C192" s="54"/>
      <c r="D192" s="62"/>
      <c r="E192" s="55"/>
      <c r="F192" s="63"/>
      <c r="G192" s="56"/>
    </row>
    <row r="193">
      <c r="A193" s="47"/>
      <c r="B193" s="97"/>
      <c r="C193" s="49"/>
      <c r="D193" s="49"/>
      <c r="E193" s="49"/>
      <c r="F193" s="98"/>
      <c r="G193" s="49"/>
    </row>
    <row r="194">
      <c r="A194" s="51"/>
      <c r="B194" s="51"/>
      <c r="C194" s="52"/>
      <c r="D194" s="52"/>
      <c r="E194" s="52"/>
      <c r="F194" s="52"/>
      <c r="G194" s="52"/>
    </row>
    <row r="195">
      <c r="A195" s="53"/>
      <c r="B195" s="53"/>
      <c r="C195" s="54"/>
      <c r="D195" s="54"/>
      <c r="E195" s="55"/>
      <c r="F195" s="124"/>
      <c r="G195" s="55"/>
    </row>
    <row r="196">
      <c r="A196" s="53"/>
      <c r="B196" s="53"/>
      <c r="C196" s="54"/>
      <c r="D196" s="54"/>
      <c r="E196" s="55"/>
      <c r="F196" s="124"/>
      <c r="G196" s="55"/>
    </row>
    <row r="197">
      <c r="A197" s="53"/>
      <c r="B197" s="53"/>
      <c r="C197" s="54"/>
      <c r="D197" s="54"/>
      <c r="E197" s="55"/>
      <c r="F197" s="124"/>
      <c r="G197" s="55"/>
    </row>
    <row r="198">
      <c r="A198" s="76"/>
      <c r="B198" s="74"/>
      <c r="C198" s="75"/>
      <c r="D198" s="75"/>
      <c r="E198" s="76"/>
      <c r="F198" s="122"/>
      <c r="G198" s="77"/>
    </row>
    <row r="199">
      <c r="A199" s="71"/>
      <c r="B199" s="71"/>
      <c r="C199" s="72"/>
      <c r="D199" s="72"/>
      <c r="E199" s="71"/>
      <c r="F199" s="123"/>
      <c r="G199" s="73"/>
    </row>
    <row r="200">
      <c r="A200" s="76"/>
      <c r="B200" s="76"/>
      <c r="C200" s="75"/>
      <c r="D200" s="75"/>
      <c r="E200" s="76"/>
      <c r="F200" s="122"/>
      <c r="G200" s="77"/>
    </row>
    <row r="201">
      <c r="A201" s="71"/>
      <c r="B201" s="71"/>
      <c r="C201" s="72"/>
      <c r="D201" s="72"/>
      <c r="E201" s="71"/>
      <c r="F201" s="123"/>
      <c r="G201" s="73"/>
    </row>
    <row r="202">
      <c r="A202" s="76"/>
      <c r="B202" s="76"/>
      <c r="C202" s="75"/>
      <c r="D202" s="75"/>
      <c r="E202" s="76"/>
      <c r="F202" s="122"/>
      <c r="G202" s="77"/>
    </row>
    <row r="203">
      <c r="A203" s="76"/>
      <c r="B203" s="76"/>
      <c r="C203" s="75"/>
      <c r="D203" s="75"/>
      <c r="E203" s="76"/>
      <c r="F203" s="122"/>
      <c r="G203" s="77"/>
    </row>
    <row r="204">
      <c r="A204" s="71"/>
      <c r="B204" s="71"/>
      <c r="C204" s="72"/>
      <c r="D204" s="72"/>
      <c r="E204" s="71"/>
      <c r="F204" s="123"/>
      <c r="G204" s="73"/>
    </row>
    <row r="205">
      <c r="A205" s="76"/>
      <c r="B205" s="76"/>
      <c r="C205" s="75"/>
      <c r="D205" s="75"/>
      <c r="E205" s="76"/>
      <c r="F205" s="122"/>
      <c r="G205" s="77"/>
    </row>
    <row r="206">
      <c r="A206" s="71"/>
      <c r="B206" s="71"/>
      <c r="C206" s="72"/>
      <c r="D206" s="72"/>
      <c r="E206" s="71"/>
      <c r="F206" s="123"/>
      <c r="G206" s="73"/>
    </row>
    <row r="207">
      <c r="A207" s="76"/>
      <c r="B207" s="76"/>
      <c r="C207" s="75"/>
      <c r="D207" s="75"/>
      <c r="E207" s="76"/>
      <c r="F207" s="122"/>
      <c r="G207" s="77"/>
    </row>
    <row r="208">
      <c r="A208" s="71"/>
      <c r="B208" s="71"/>
      <c r="C208" s="72"/>
      <c r="D208" s="72"/>
      <c r="E208" s="71"/>
      <c r="F208" s="123"/>
      <c r="G208" s="73"/>
    </row>
    <row r="209">
      <c r="A209" s="76"/>
      <c r="B209" s="76"/>
      <c r="C209" s="75"/>
      <c r="D209" s="75"/>
      <c r="E209" s="76"/>
      <c r="F209" s="122"/>
      <c r="G209" s="77"/>
    </row>
    <row r="210">
      <c r="A210" s="71"/>
      <c r="B210" s="71"/>
      <c r="C210" s="72"/>
      <c r="D210" s="72"/>
      <c r="E210" s="71"/>
      <c r="F210" s="123"/>
      <c r="G210" s="73"/>
    </row>
    <row r="211">
      <c r="A211" s="76"/>
      <c r="B211" s="76"/>
      <c r="C211" s="75"/>
      <c r="D211" s="75"/>
      <c r="E211" s="76"/>
      <c r="F211" s="122"/>
      <c r="G211" s="77"/>
    </row>
    <row r="212">
      <c r="A212" s="71"/>
      <c r="B212" s="71"/>
      <c r="C212" s="72"/>
      <c r="D212" s="72"/>
      <c r="E212" s="71"/>
      <c r="F212" s="123"/>
      <c r="G212" s="73"/>
    </row>
    <row r="213">
      <c r="A213" s="76"/>
      <c r="B213" s="76"/>
      <c r="C213" s="75"/>
      <c r="D213" s="75"/>
      <c r="E213" s="76"/>
      <c r="F213" s="122"/>
      <c r="G213" s="77"/>
    </row>
    <row r="214">
      <c r="A214" s="71"/>
      <c r="B214" s="71"/>
      <c r="C214" s="72"/>
      <c r="D214" s="72"/>
      <c r="E214" s="71"/>
      <c r="F214" s="123"/>
      <c r="G214" s="73"/>
    </row>
    <row r="215">
      <c r="A215" s="76"/>
      <c r="B215" s="76"/>
      <c r="C215" s="75"/>
      <c r="D215" s="75"/>
      <c r="E215" s="76"/>
      <c r="F215" s="122"/>
      <c r="G215" s="77"/>
    </row>
    <row r="216">
      <c r="A216" s="71"/>
      <c r="B216" s="71"/>
      <c r="C216" s="72"/>
      <c r="D216" s="72"/>
      <c r="E216" s="71"/>
      <c r="F216" s="123"/>
      <c r="G216" s="73"/>
    </row>
    <row r="217">
      <c r="A217" s="71"/>
      <c r="B217" s="78"/>
      <c r="C217" s="72"/>
      <c r="D217" s="72"/>
      <c r="E217" s="71"/>
      <c r="F217" s="123"/>
      <c r="G217" s="73"/>
    </row>
    <row r="218">
      <c r="A218" s="76"/>
      <c r="B218" s="76"/>
      <c r="C218" s="75"/>
      <c r="D218" s="75"/>
      <c r="E218" s="76"/>
      <c r="F218" s="122"/>
      <c r="G218" s="77"/>
    </row>
    <row r="219">
      <c r="A219" s="71"/>
      <c r="B219" s="71"/>
      <c r="C219" s="72"/>
      <c r="D219" s="72"/>
      <c r="E219" s="71"/>
      <c r="F219" s="123"/>
      <c r="G219" s="73"/>
    </row>
    <row r="220">
      <c r="A220" s="76"/>
      <c r="B220" s="76"/>
      <c r="C220" s="75"/>
      <c r="D220" s="75"/>
      <c r="E220" s="76"/>
      <c r="F220" s="122"/>
      <c r="G220" s="77"/>
    </row>
    <row r="221">
      <c r="A221" s="71"/>
      <c r="B221" s="78"/>
      <c r="C221" s="72"/>
      <c r="D221" s="72"/>
      <c r="E221" s="71"/>
      <c r="F221" s="123"/>
      <c r="G221" s="73"/>
    </row>
    <row r="222">
      <c r="A222" s="71"/>
      <c r="B222" s="78"/>
      <c r="C222" s="72"/>
      <c r="D222" s="72"/>
      <c r="E222" s="71"/>
      <c r="F222" s="123"/>
      <c r="G222" s="73"/>
    </row>
    <row r="223">
      <c r="A223" s="76"/>
      <c r="B223" s="76"/>
      <c r="C223" s="75"/>
      <c r="D223" s="76"/>
      <c r="E223" s="76"/>
      <c r="F223" s="122"/>
      <c r="G223" s="77"/>
    </row>
    <row r="224">
      <c r="A224" s="71"/>
      <c r="B224" s="71"/>
      <c r="C224" s="72"/>
      <c r="D224" s="76"/>
      <c r="E224" s="71"/>
      <c r="F224" s="123"/>
      <c r="G224" s="73"/>
    </row>
    <row r="225">
      <c r="A225" s="76"/>
      <c r="B225" s="76"/>
      <c r="C225" s="75"/>
      <c r="D225" s="76"/>
      <c r="E225" s="76"/>
      <c r="F225" s="122"/>
      <c r="G225" s="77"/>
    </row>
    <row r="226">
      <c r="A226" s="53"/>
      <c r="B226" s="53"/>
      <c r="C226" s="54"/>
      <c r="D226" s="54"/>
      <c r="E226" s="55"/>
      <c r="F226" s="63"/>
      <c r="G226" s="56"/>
    </row>
    <row r="227">
      <c r="A227" s="53"/>
      <c r="B227" s="53"/>
      <c r="C227" s="54"/>
      <c r="D227" s="54"/>
      <c r="E227" s="55"/>
      <c r="F227" s="63"/>
      <c r="G227" s="56"/>
    </row>
    <row r="228">
      <c r="A228" s="53"/>
      <c r="B228" s="53"/>
      <c r="C228" s="54"/>
      <c r="D228" s="54"/>
      <c r="E228" s="55"/>
      <c r="F228" s="63"/>
      <c r="G228" s="56"/>
    </row>
    <row r="229">
      <c r="A229" s="53"/>
      <c r="B229" s="53"/>
      <c r="C229" s="54"/>
      <c r="D229" s="54"/>
      <c r="E229" s="55"/>
      <c r="F229" s="63"/>
      <c r="G229" s="56"/>
    </row>
    <row r="230">
      <c r="A230" s="53"/>
      <c r="B230" s="53"/>
      <c r="C230" s="54"/>
      <c r="D230" s="54"/>
      <c r="E230" s="55"/>
      <c r="F230" s="63"/>
      <c r="G230" s="56"/>
    </row>
    <row r="231">
      <c r="A231" s="53"/>
      <c r="B231" s="53"/>
      <c r="C231" s="54"/>
      <c r="D231" s="54"/>
      <c r="E231" s="55"/>
      <c r="F231" s="63"/>
      <c r="G231" s="56"/>
    </row>
    <row r="232">
      <c r="A232" s="53"/>
      <c r="B232" s="53"/>
      <c r="C232" s="54"/>
      <c r="D232" s="54"/>
      <c r="E232" s="55"/>
      <c r="F232" s="63"/>
      <c r="G232" s="56"/>
    </row>
    <row r="233">
      <c r="A233" s="53"/>
      <c r="B233" s="53"/>
      <c r="C233" s="54"/>
      <c r="D233" s="54"/>
      <c r="E233" s="55"/>
      <c r="F233" s="63"/>
      <c r="G233" s="56"/>
    </row>
    <row r="234">
      <c r="A234" s="53"/>
      <c r="B234" s="53"/>
      <c r="C234" s="54"/>
      <c r="D234" s="54"/>
      <c r="E234" s="55"/>
      <c r="F234" s="63"/>
      <c r="G234" s="56"/>
    </row>
    <row r="235">
      <c r="A235" s="53"/>
      <c r="B235" s="53"/>
      <c r="C235" s="54"/>
      <c r="D235" s="54"/>
      <c r="E235" s="55"/>
      <c r="F235" s="63"/>
      <c r="G235" s="56"/>
    </row>
    <row r="236">
      <c r="A236" s="53"/>
      <c r="B236" s="53"/>
      <c r="C236" s="54"/>
      <c r="D236" s="62"/>
      <c r="E236" s="55"/>
      <c r="F236" s="63"/>
      <c r="G236" s="56"/>
    </row>
    <row r="237">
      <c r="A237" s="53"/>
      <c r="B237" s="53"/>
      <c r="C237" s="54"/>
      <c r="D237" s="62"/>
      <c r="E237" s="55"/>
      <c r="F237" s="63"/>
      <c r="G237" s="56"/>
    </row>
    <row r="238">
      <c r="A238" s="53"/>
      <c r="B238" s="53"/>
      <c r="C238" s="54"/>
      <c r="D238" s="62"/>
      <c r="E238" s="55"/>
      <c r="F238" s="63"/>
      <c r="G238" s="56"/>
    </row>
    <row r="239">
      <c r="A239" s="53"/>
      <c r="B239" s="53"/>
      <c r="C239" s="54"/>
      <c r="D239" s="62"/>
      <c r="E239" s="55"/>
      <c r="F239" s="63"/>
      <c r="G239" s="56"/>
    </row>
    <row r="240">
      <c r="A240" s="53"/>
      <c r="B240" s="53"/>
      <c r="C240" s="54"/>
      <c r="D240" s="62"/>
      <c r="E240" s="55"/>
      <c r="F240" s="63"/>
      <c r="G240" s="56"/>
    </row>
    <row r="241">
      <c r="A241" s="53"/>
      <c r="B241" s="53"/>
      <c r="C241" s="54"/>
      <c r="D241" s="62"/>
      <c r="E241" s="55"/>
      <c r="F241" s="63"/>
      <c r="G241" s="56"/>
    </row>
    <row r="242">
      <c r="A242" s="47"/>
      <c r="B242" s="97"/>
      <c r="C242" s="49"/>
      <c r="D242" s="49"/>
      <c r="E242" s="49"/>
      <c r="F242" s="98"/>
      <c r="G242" s="49"/>
    </row>
    <row r="243">
      <c r="A243" s="51"/>
      <c r="B243" s="51"/>
      <c r="C243" s="52"/>
      <c r="D243" s="52"/>
      <c r="E243" s="52"/>
      <c r="F243" s="52"/>
      <c r="G243" s="52"/>
    </row>
    <row r="244">
      <c r="A244" s="53"/>
      <c r="B244" s="53"/>
      <c r="C244" s="54"/>
      <c r="D244" s="54"/>
      <c r="E244" s="55"/>
      <c r="F244" s="124"/>
      <c r="G244" s="55"/>
    </row>
    <row r="245">
      <c r="A245" s="53"/>
      <c r="B245" s="53"/>
      <c r="C245" s="54"/>
      <c r="D245" s="54"/>
      <c r="E245" s="55"/>
      <c r="F245" s="124"/>
      <c r="G245" s="55"/>
    </row>
    <row r="246">
      <c r="A246" s="53"/>
      <c r="B246" s="53"/>
      <c r="C246" s="54"/>
      <c r="D246" s="54"/>
      <c r="E246" s="55"/>
      <c r="F246" s="124"/>
      <c r="G246" s="55"/>
    </row>
    <row r="247">
      <c r="A247" s="76"/>
      <c r="B247" s="74"/>
      <c r="C247" s="75"/>
      <c r="D247" s="75"/>
      <c r="E247" s="76"/>
      <c r="F247" s="122"/>
      <c r="G247" s="77"/>
    </row>
    <row r="248">
      <c r="A248" s="71"/>
      <c r="B248" s="71"/>
      <c r="C248" s="72"/>
      <c r="D248" s="72"/>
      <c r="E248" s="71"/>
      <c r="F248" s="123"/>
      <c r="G248" s="73"/>
    </row>
    <row r="249">
      <c r="A249" s="76"/>
      <c r="B249" s="76"/>
      <c r="C249" s="75"/>
      <c r="D249" s="75"/>
      <c r="E249" s="76"/>
      <c r="F249" s="122"/>
      <c r="G249" s="77"/>
    </row>
    <row r="250">
      <c r="A250" s="71"/>
      <c r="B250" s="71"/>
      <c r="C250" s="72"/>
      <c r="D250" s="72"/>
      <c r="E250" s="71"/>
      <c r="F250" s="123"/>
      <c r="G250" s="73"/>
    </row>
    <row r="251">
      <c r="A251" s="76"/>
      <c r="B251" s="76"/>
      <c r="C251" s="75"/>
      <c r="D251" s="75"/>
      <c r="E251" s="76"/>
      <c r="F251" s="122"/>
      <c r="G251" s="77"/>
    </row>
    <row r="252">
      <c r="A252" s="76"/>
      <c r="B252" s="76"/>
      <c r="C252" s="75"/>
      <c r="D252" s="75"/>
      <c r="E252" s="76"/>
      <c r="F252" s="122"/>
      <c r="G252" s="77"/>
    </row>
    <row r="253">
      <c r="A253" s="71"/>
      <c r="B253" s="71"/>
      <c r="C253" s="72"/>
      <c r="D253" s="72"/>
      <c r="E253" s="71"/>
      <c r="F253" s="123"/>
      <c r="G253" s="73"/>
    </row>
    <row r="254">
      <c r="A254" s="76"/>
      <c r="B254" s="76"/>
      <c r="C254" s="75"/>
      <c r="D254" s="75"/>
      <c r="E254" s="76"/>
      <c r="F254" s="122"/>
      <c r="G254" s="77"/>
    </row>
    <row r="255">
      <c r="A255" s="71"/>
      <c r="B255" s="71"/>
      <c r="C255" s="72"/>
      <c r="D255" s="72"/>
      <c r="E255" s="71"/>
      <c r="F255" s="123"/>
      <c r="G255" s="73"/>
    </row>
    <row r="256">
      <c r="A256" s="76"/>
      <c r="B256" s="76"/>
      <c r="C256" s="75"/>
      <c r="D256" s="75"/>
      <c r="E256" s="76"/>
      <c r="F256" s="122"/>
      <c r="G256" s="77"/>
    </row>
    <row r="257">
      <c r="A257" s="71"/>
      <c r="B257" s="71"/>
      <c r="C257" s="72"/>
      <c r="D257" s="72"/>
      <c r="E257" s="71"/>
      <c r="F257" s="123"/>
      <c r="G257" s="73"/>
    </row>
    <row r="258">
      <c r="A258" s="76"/>
      <c r="B258" s="76"/>
      <c r="C258" s="75"/>
      <c r="D258" s="75"/>
      <c r="E258" s="76"/>
      <c r="F258" s="122"/>
      <c r="G258" s="77"/>
    </row>
    <row r="259">
      <c r="A259" s="71"/>
      <c r="B259" s="71"/>
      <c r="C259" s="72"/>
      <c r="D259" s="72"/>
      <c r="E259" s="71"/>
      <c r="F259" s="123"/>
      <c r="G259" s="73"/>
    </row>
    <row r="260">
      <c r="A260" s="76"/>
      <c r="B260" s="76"/>
      <c r="C260" s="75"/>
      <c r="D260" s="75"/>
      <c r="E260" s="76"/>
      <c r="F260" s="122"/>
      <c r="G260" s="77"/>
    </row>
    <row r="261">
      <c r="A261" s="71"/>
      <c r="B261" s="71"/>
      <c r="C261" s="72"/>
      <c r="D261" s="72"/>
      <c r="E261" s="71"/>
      <c r="F261" s="123"/>
      <c r="G261" s="73"/>
    </row>
    <row r="262">
      <c r="A262" s="76"/>
      <c r="B262" s="76"/>
      <c r="C262" s="75"/>
      <c r="D262" s="75"/>
      <c r="E262" s="76"/>
      <c r="F262" s="122"/>
      <c r="G262" s="77"/>
    </row>
    <row r="263">
      <c r="A263" s="71"/>
      <c r="B263" s="71"/>
      <c r="C263" s="72"/>
      <c r="D263" s="72"/>
      <c r="E263" s="71"/>
      <c r="F263" s="123"/>
      <c r="G263" s="73"/>
    </row>
    <row r="264">
      <c r="A264" s="76"/>
      <c r="B264" s="76"/>
      <c r="C264" s="75"/>
      <c r="D264" s="75"/>
      <c r="E264" s="76"/>
      <c r="F264" s="122"/>
      <c r="G264" s="77"/>
    </row>
    <row r="265">
      <c r="A265" s="71"/>
      <c r="B265" s="71"/>
      <c r="C265" s="72"/>
      <c r="D265" s="72"/>
      <c r="E265" s="71"/>
      <c r="F265" s="123"/>
      <c r="G265" s="73"/>
    </row>
    <row r="266">
      <c r="A266" s="71"/>
      <c r="B266" s="78"/>
      <c r="C266" s="72"/>
      <c r="D266" s="72"/>
      <c r="E266" s="71"/>
      <c r="F266" s="123"/>
      <c r="G266" s="73"/>
    </row>
    <row r="267">
      <c r="A267" s="76"/>
      <c r="B267" s="76"/>
      <c r="C267" s="75"/>
      <c r="D267" s="75"/>
      <c r="E267" s="76"/>
      <c r="F267" s="122"/>
      <c r="G267" s="77"/>
    </row>
    <row r="268">
      <c r="A268" s="71"/>
      <c r="B268" s="71"/>
      <c r="C268" s="72"/>
      <c r="D268" s="72"/>
      <c r="E268" s="71"/>
      <c r="F268" s="123"/>
      <c r="G268" s="73"/>
    </row>
    <row r="269">
      <c r="A269" s="76"/>
      <c r="B269" s="76"/>
      <c r="C269" s="75"/>
      <c r="D269" s="75"/>
      <c r="E269" s="76"/>
      <c r="F269" s="122"/>
      <c r="G269" s="77"/>
    </row>
    <row r="270">
      <c r="A270" s="71"/>
      <c r="B270" s="78"/>
      <c r="C270" s="72"/>
      <c r="D270" s="72"/>
      <c r="E270" s="71"/>
      <c r="F270" s="123"/>
      <c r="G270" s="73"/>
    </row>
    <row r="271">
      <c r="A271" s="71"/>
      <c r="B271" s="78"/>
      <c r="C271" s="72"/>
      <c r="D271" s="72"/>
      <c r="E271" s="71"/>
      <c r="F271" s="123"/>
      <c r="G271" s="73"/>
    </row>
    <row r="272">
      <c r="A272" s="76"/>
      <c r="B272" s="76"/>
      <c r="C272" s="75"/>
      <c r="D272" s="76"/>
      <c r="E272" s="76"/>
      <c r="F272" s="122"/>
      <c r="G272" s="77"/>
    </row>
    <row r="273">
      <c r="A273" s="71"/>
      <c r="B273" s="71"/>
      <c r="C273" s="72"/>
      <c r="D273" s="76"/>
      <c r="E273" s="71"/>
      <c r="F273" s="123"/>
      <c r="G273" s="73"/>
    </row>
    <row r="274">
      <c r="A274" s="76"/>
      <c r="B274" s="76"/>
      <c r="C274" s="75"/>
      <c r="D274" s="76"/>
      <c r="E274" s="76"/>
      <c r="F274" s="122"/>
      <c r="G274" s="77"/>
    </row>
    <row r="275">
      <c r="A275" s="53"/>
      <c r="B275" s="53"/>
      <c r="C275" s="54"/>
      <c r="D275" s="54"/>
      <c r="E275" s="55"/>
      <c r="F275" s="63"/>
      <c r="G275" s="56"/>
    </row>
    <row r="276">
      <c r="A276" s="53"/>
      <c r="B276" s="53"/>
      <c r="C276" s="54"/>
      <c r="D276" s="54"/>
      <c r="E276" s="55"/>
      <c r="F276" s="63"/>
      <c r="G276" s="56"/>
    </row>
    <row r="277">
      <c r="A277" s="53"/>
      <c r="B277" s="53"/>
      <c r="C277" s="54"/>
      <c r="D277" s="54"/>
      <c r="E277" s="55"/>
      <c r="F277" s="63"/>
      <c r="G277" s="56"/>
    </row>
    <row r="278">
      <c r="A278" s="53"/>
      <c r="B278" s="53"/>
      <c r="C278" s="54"/>
      <c r="D278" s="54"/>
      <c r="E278" s="55"/>
      <c r="F278" s="63"/>
      <c r="G278" s="56"/>
    </row>
    <row r="279">
      <c r="A279" s="53"/>
      <c r="B279" s="53"/>
      <c r="C279" s="54"/>
      <c r="D279" s="54"/>
      <c r="E279" s="55"/>
      <c r="F279" s="63"/>
      <c r="G279" s="56"/>
    </row>
    <row r="280">
      <c r="A280" s="53"/>
      <c r="B280" s="53"/>
      <c r="C280" s="54"/>
      <c r="D280" s="54"/>
      <c r="E280" s="55"/>
      <c r="F280" s="63"/>
      <c r="G280" s="56"/>
    </row>
    <row r="281">
      <c r="A281" s="53"/>
      <c r="B281" s="53"/>
      <c r="C281" s="54"/>
      <c r="D281" s="54"/>
      <c r="E281" s="55"/>
      <c r="F281" s="63"/>
      <c r="G281" s="56"/>
    </row>
    <row r="282">
      <c r="A282" s="53"/>
      <c r="B282" s="53"/>
      <c r="C282" s="54"/>
      <c r="D282" s="54"/>
      <c r="E282" s="55"/>
      <c r="F282" s="63"/>
      <c r="G282" s="56"/>
    </row>
    <row r="283">
      <c r="A283" s="53"/>
      <c r="B283" s="53"/>
      <c r="C283" s="54"/>
      <c r="D283" s="54"/>
      <c r="E283" s="55"/>
      <c r="F283" s="63"/>
      <c r="G283" s="56"/>
    </row>
    <row r="284">
      <c r="A284" s="53"/>
      <c r="B284" s="53"/>
      <c r="C284" s="54"/>
      <c r="D284" s="54"/>
      <c r="E284" s="55"/>
      <c r="F284" s="63"/>
      <c r="G284" s="56"/>
    </row>
    <row r="285">
      <c r="A285" s="53"/>
      <c r="B285" s="53"/>
      <c r="C285" s="54"/>
      <c r="D285" s="62"/>
      <c r="E285" s="55"/>
      <c r="F285" s="63"/>
      <c r="G285" s="56"/>
    </row>
    <row r="286">
      <c r="A286" s="53"/>
      <c r="B286" s="53"/>
      <c r="C286" s="54"/>
      <c r="D286" s="62"/>
      <c r="E286" s="55"/>
      <c r="F286" s="63"/>
      <c r="G286" s="56"/>
    </row>
    <row r="287">
      <c r="A287" s="53"/>
      <c r="B287" s="53"/>
      <c r="C287" s="54"/>
      <c r="D287" s="62"/>
      <c r="E287" s="55"/>
      <c r="F287" s="63"/>
      <c r="G287" s="56"/>
    </row>
    <row r="288">
      <c r="A288" s="53"/>
      <c r="B288" s="53"/>
      <c r="C288" s="54"/>
      <c r="D288" s="62"/>
      <c r="E288" s="55"/>
      <c r="F288" s="63"/>
      <c r="G288" s="56"/>
    </row>
    <row r="289">
      <c r="A289" s="53"/>
      <c r="B289" s="53"/>
      <c r="C289" s="54"/>
      <c r="D289" s="62"/>
      <c r="E289" s="55"/>
      <c r="F289" s="63"/>
      <c r="G289" s="56"/>
    </row>
    <row r="290">
      <c r="A290" s="53"/>
      <c r="B290" s="53"/>
      <c r="C290" s="54"/>
      <c r="D290" s="62"/>
      <c r="E290" s="55"/>
      <c r="F290" s="63"/>
      <c r="G290" s="56"/>
    </row>
    <row r="291">
      <c r="A291" s="47"/>
      <c r="B291" s="97"/>
      <c r="C291" s="49"/>
      <c r="D291" s="49"/>
      <c r="E291" s="49"/>
      <c r="F291" s="98"/>
      <c r="G291" s="49"/>
    </row>
    <row r="292">
      <c r="A292" s="51"/>
      <c r="B292" s="51"/>
      <c r="C292" s="52"/>
      <c r="D292" s="52"/>
      <c r="E292" s="52"/>
      <c r="F292" s="52"/>
      <c r="G292" s="52"/>
    </row>
    <row r="293">
      <c r="A293" s="53"/>
      <c r="B293" s="53"/>
      <c r="C293" s="54"/>
      <c r="D293" s="54"/>
      <c r="E293" s="55"/>
      <c r="F293" s="124"/>
      <c r="G293" s="55"/>
    </row>
    <row r="294">
      <c r="A294" s="53"/>
      <c r="B294" s="53"/>
      <c r="C294" s="54"/>
      <c r="D294" s="54"/>
      <c r="E294" s="55"/>
      <c r="F294" s="124"/>
      <c r="G294" s="55"/>
    </row>
    <row r="295">
      <c r="A295" s="53"/>
      <c r="B295" s="53"/>
      <c r="C295" s="54"/>
      <c r="D295" s="54"/>
      <c r="E295" s="55"/>
      <c r="F295" s="124"/>
      <c r="G295" s="55"/>
    </row>
    <row r="296">
      <c r="A296" s="76"/>
      <c r="B296" s="74"/>
      <c r="C296" s="75"/>
      <c r="D296" s="75"/>
      <c r="E296" s="76"/>
      <c r="F296" s="122"/>
      <c r="G296" s="77"/>
    </row>
    <row r="297">
      <c r="A297" s="71"/>
      <c r="B297" s="71"/>
      <c r="C297" s="72"/>
      <c r="D297" s="72"/>
      <c r="E297" s="71"/>
      <c r="F297" s="123"/>
      <c r="G297" s="73"/>
    </row>
    <row r="298">
      <c r="A298" s="76"/>
      <c r="B298" s="76"/>
      <c r="C298" s="75"/>
      <c r="D298" s="75"/>
      <c r="E298" s="76"/>
      <c r="F298" s="122"/>
      <c r="G298" s="77"/>
    </row>
    <row r="299">
      <c r="A299" s="71"/>
      <c r="B299" s="71"/>
      <c r="C299" s="72"/>
      <c r="D299" s="72"/>
      <c r="E299" s="71"/>
      <c r="F299" s="123"/>
      <c r="G299" s="73"/>
    </row>
    <row r="300">
      <c r="A300" s="76"/>
      <c r="B300" s="76"/>
      <c r="C300" s="75"/>
      <c r="D300" s="75"/>
      <c r="E300" s="76"/>
      <c r="F300" s="122"/>
      <c r="G300" s="77"/>
    </row>
    <row r="301">
      <c r="A301" s="76"/>
      <c r="B301" s="76"/>
      <c r="C301" s="75"/>
      <c r="D301" s="75"/>
      <c r="E301" s="76"/>
      <c r="F301" s="122"/>
      <c r="G301" s="77"/>
    </row>
    <row r="302">
      <c r="A302" s="71"/>
      <c r="B302" s="71"/>
      <c r="C302" s="72"/>
      <c r="D302" s="72"/>
      <c r="E302" s="71"/>
      <c r="F302" s="123"/>
      <c r="G302" s="73"/>
    </row>
    <row r="303">
      <c r="A303" s="76"/>
      <c r="B303" s="76"/>
      <c r="C303" s="75"/>
      <c r="D303" s="75"/>
      <c r="E303" s="76"/>
      <c r="F303" s="122"/>
      <c r="G303" s="77"/>
    </row>
    <row r="304">
      <c r="A304" s="71"/>
      <c r="B304" s="71"/>
      <c r="C304" s="72"/>
      <c r="D304" s="72"/>
      <c r="E304" s="71"/>
      <c r="F304" s="123"/>
      <c r="G304" s="73"/>
    </row>
    <row r="305">
      <c r="A305" s="76"/>
      <c r="B305" s="76"/>
      <c r="C305" s="75"/>
      <c r="D305" s="75"/>
      <c r="E305" s="76"/>
      <c r="F305" s="122"/>
      <c r="G305" s="77"/>
    </row>
    <row r="306">
      <c r="A306" s="71"/>
      <c r="B306" s="71"/>
      <c r="C306" s="72"/>
      <c r="D306" s="72"/>
      <c r="E306" s="71"/>
      <c r="F306" s="123"/>
      <c r="G306" s="73"/>
    </row>
    <row r="307">
      <c r="A307" s="76"/>
      <c r="B307" s="76"/>
      <c r="C307" s="75"/>
      <c r="D307" s="75"/>
      <c r="E307" s="76"/>
      <c r="F307" s="122"/>
      <c r="G307" s="77"/>
    </row>
    <row r="308">
      <c r="A308" s="71"/>
      <c r="B308" s="71"/>
      <c r="C308" s="72"/>
      <c r="D308" s="72"/>
      <c r="E308" s="71"/>
      <c r="F308" s="123"/>
      <c r="G308" s="73"/>
    </row>
    <row r="309">
      <c r="A309" s="76"/>
      <c r="B309" s="76"/>
      <c r="C309" s="75"/>
      <c r="D309" s="75"/>
      <c r="E309" s="76"/>
      <c r="F309" s="122"/>
      <c r="G309" s="77"/>
    </row>
    <row r="310">
      <c r="A310" s="71"/>
      <c r="B310" s="71"/>
      <c r="C310" s="72"/>
      <c r="D310" s="72"/>
      <c r="E310" s="71"/>
      <c r="F310" s="123"/>
      <c r="G310" s="73"/>
    </row>
    <row r="311">
      <c r="A311" s="76"/>
      <c r="B311" s="76"/>
      <c r="C311" s="75"/>
      <c r="D311" s="75"/>
      <c r="E311" s="76"/>
      <c r="F311" s="122"/>
      <c r="G311" s="77"/>
    </row>
    <row r="312">
      <c r="A312" s="71"/>
      <c r="B312" s="71"/>
      <c r="C312" s="72"/>
      <c r="D312" s="72"/>
      <c r="E312" s="71"/>
      <c r="F312" s="123"/>
      <c r="G312" s="73"/>
    </row>
    <row r="313">
      <c r="A313" s="76"/>
      <c r="B313" s="76"/>
      <c r="C313" s="75"/>
      <c r="D313" s="75"/>
      <c r="E313" s="76"/>
      <c r="F313" s="122"/>
      <c r="G313" s="77"/>
    </row>
    <row r="314">
      <c r="A314" s="71"/>
      <c r="B314" s="71"/>
      <c r="C314" s="72"/>
      <c r="D314" s="72"/>
      <c r="E314" s="71"/>
      <c r="F314" s="123"/>
      <c r="G314" s="73"/>
    </row>
    <row r="315">
      <c r="A315" s="71"/>
      <c r="B315" s="78"/>
      <c r="C315" s="72"/>
      <c r="D315" s="72"/>
      <c r="E315" s="71"/>
      <c r="F315" s="123"/>
      <c r="G315" s="73"/>
    </row>
    <row r="316">
      <c r="A316" s="76"/>
      <c r="B316" s="76"/>
      <c r="C316" s="75"/>
      <c r="D316" s="75"/>
      <c r="E316" s="76"/>
      <c r="F316" s="122"/>
      <c r="G316" s="77"/>
    </row>
    <row r="317">
      <c r="A317" s="71"/>
      <c r="B317" s="71"/>
      <c r="C317" s="72"/>
      <c r="D317" s="72"/>
      <c r="E317" s="71"/>
      <c r="F317" s="123"/>
      <c r="G317" s="73"/>
    </row>
    <row r="318">
      <c r="A318" s="76"/>
      <c r="B318" s="76"/>
      <c r="C318" s="75"/>
      <c r="D318" s="75"/>
      <c r="E318" s="76"/>
      <c r="F318" s="122"/>
      <c r="G318" s="77"/>
    </row>
    <row r="319">
      <c r="A319" s="71"/>
      <c r="B319" s="78"/>
      <c r="C319" s="72"/>
      <c r="D319" s="72"/>
      <c r="E319" s="71"/>
      <c r="F319" s="123"/>
      <c r="G319" s="73"/>
    </row>
    <row r="320">
      <c r="A320" s="71"/>
      <c r="B320" s="78"/>
      <c r="C320" s="72"/>
      <c r="D320" s="72"/>
      <c r="E320" s="71"/>
      <c r="F320" s="123"/>
      <c r="G320" s="73"/>
    </row>
    <row r="321">
      <c r="A321" s="76"/>
      <c r="B321" s="76"/>
      <c r="C321" s="75"/>
      <c r="D321" s="76"/>
      <c r="E321" s="76"/>
      <c r="F321" s="122"/>
      <c r="G321" s="77"/>
    </row>
    <row r="322">
      <c r="A322" s="71"/>
      <c r="B322" s="71"/>
      <c r="C322" s="72"/>
      <c r="D322" s="76"/>
      <c r="E322" s="71"/>
      <c r="F322" s="123"/>
      <c r="G322" s="73"/>
    </row>
    <row r="323">
      <c r="A323" s="76"/>
      <c r="B323" s="76"/>
      <c r="C323" s="75"/>
      <c r="D323" s="76"/>
      <c r="E323" s="76"/>
      <c r="F323" s="122"/>
      <c r="G323" s="77"/>
    </row>
    <row r="324">
      <c r="A324" s="53"/>
      <c r="B324" s="53"/>
      <c r="C324" s="54"/>
      <c r="D324" s="54"/>
      <c r="E324" s="55"/>
      <c r="F324" s="63"/>
      <c r="G324" s="56"/>
    </row>
    <row r="325">
      <c r="A325" s="53"/>
      <c r="B325" s="53"/>
      <c r="C325" s="54"/>
      <c r="D325" s="54"/>
      <c r="E325" s="55"/>
      <c r="F325" s="63"/>
      <c r="G325" s="56"/>
    </row>
    <row r="326">
      <c r="A326" s="53"/>
      <c r="B326" s="53"/>
      <c r="C326" s="54"/>
      <c r="D326" s="54"/>
      <c r="E326" s="55"/>
      <c r="F326" s="63"/>
      <c r="G326" s="56"/>
    </row>
    <row r="327">
      <c r="A327" s="53"/>
      <c r="B327" s="53"/>
      <c r="C327" s="54"/>
      <c r="D327" s="54"/>
      <c r="E327" s="55"/>
      <c r="F327" s="63"/>
      <c r="G327" s="56"/>
    </row>
    <row r="328">
      <c r="A328" s="53"/>
      <c r="B328" s="53"/>
      <c r="C328" s="54"/>
      <c r="D328" s="54"/>
      <c r="E328" s="55"/>
      <c r="F328" s="63"/>
      <c r="G328" s="56"/>
    </row>
    <row r="329">
      <c r="A329" s="53"/>
      <c r="B329" s="53"/>
      <c r="C329" s="54"/>
      <c r="D329" s="54"/>
      <c r="E329" s="55"/>
      <c r="F329" s="63"/>
      <c r="G329" s="56"/>
    </row>
    <row r="330">
      <c r="A330" s="53"/>
      <c r="B330" s="53"/>
      <c r="C330" s="54"/>
      <c r="D330" s="54"/>
      <c r="E330" s="55"/>
      <c r="F330" s="63"/>
      <c r="G330" s="56"/>
    </row>
    <row r="331">
      <c r="A331" s="53"/>
      <c r="B331" s="53"/>
      <c r="C331" s="54"/>
      <c r="D331" s="54"/>
      <c r="E331" s="55"/>
      <c r="F331" s="63"/>
      <c r="G331" s="56"/>
    </row>
    <row r="332">
      <c r="A332" s="53"/>
      <c r="B332" s="53"/>
      <c r="C332" s="54"/>
      <c r="D332" s="54"/>
      <c r="E332" s="55"/>
      <c r="F332" s="63"/>
      <c r="G332" s="56"/>
    </row>
    <row r="333">
      <c r="A333" s="53"/>
      <c r="B333" s="53"/>
      <c r="C333" s="54"/>
      <c r="D333" s="54"/>
      <c r="E333" s="55"/>
      <c r="F333" s="63"/>
      <c r="G333" s="56"/>
    </row>
    <row r="334">
      <c r="A334" s="53"/>
      <c r="B334" s="53"/>
      <c r="C334" s="54"/>
      <c r="D334" s="62"/>
      <c r="E334" s="55"/>
      <c r="F334" s="63"/>
      <c r="G334" s="56"/>
    </row>
    <row r="335">
      <c r="A335" s="53"/>
      <c r="B335" s="53"/>
      <c r="C335" s="54"/>
      <c r="D335" s="62"/>
      <c r="E335" s="55"/>
      <c r="F335" s="63"/>
      <c r="G335" s="56"/>
    </row>
    <row r="336">
      <c r="A336" s="53"/>
      <c r="B336" s="53"/>
      <c r="C336" s="54"/>
      <c r="D336" s="62"/>
      <c r="E336" s="55"/>
      <c r="F336" s="63"/>
      <c r="G336" s="56"/>
    </row>
    <row r="337">
      <c r="A337" s="53"/>
      <c r="B337" s="53"/>
      <c r="C337" s="54"/>
      <c r="D337" s="62"/>
      <c r="E337" s="55"/>
      <c r="F337" s="63"/>
      <c r="G337" s="56"/>
    </row>
    <row r="338">
      <c r="A338" s="53"/>
      <c r="B338" s="53"/>
      <c r="C338" s="54"/>
      <c r="D338" s="62"/>
      <c r="E338" s="55"/>
      <c r="F338" s="63"/>
      <c r="G338" s="56"/>
    </row>
    <row r="339">
      <c r="A339" s="53"/>
      <c r="B339" s="53"/>
      <c r="C339" s="54"/>
      <c r="D339" s="62"/>
      <c r="E339" s="55"/>
      <c r="F339" s="63"/>
      <c r="G339" s="56"/>
    </row>
    <row r="340">
      <c r="A340" s="47"/>
      <c r="B340" s="97"/>
      <c r="C340" s="49"/>
      <c r="D340" s="49"/>
      <c r="E340" s="49"/>
      <c r="F340" s="98"/>
      <c r="G340" s="49"/>
    </row>
    <row r="341">
      <c r="A341" s="51"/>
      <c r="B341" s="51"/>
      <c r="C341" s="52"/>
      <c r="D341" s="52"/>
      <c r="E341" s="52"/>
      <c r="F341" s="52"/>
      <c r="G341" s="52"/>
    </row>
    <row r="342">
      <c r="A342" s="53"/>
      <c r="B342" s="53"/>
      <c r="C342" s="54"/>
      <c r="D342" s="54"/>
      <c r="E342" s="55"/>
      <c r="F342" s="124"/>
      <c r="G342" s="55"/>
    </row>
    <row r="343">
      <c r="A343" s="53"/>
      <c r="B343" s="53"/>
      <c r="C343" s="54"/>
      <c r="D343" s="54"/>
      <c r="E343" s="55"/>
      <c r="F343" s="124"/>
      <c r="G343" s="55"/>
    </row>
    <row r="344">
      <c r="A344" s="53"/>
      <c r="B344" s="53"/>
      <c r="C344" s="54"/>
      <c r="D344" s="54"/>
      <c r="E344" s="55"/>
      <c r="F344" s="124"/>
      <c r="G344" s="55"/>
    </row>
    <row r="345">
      <c r="A345" s="76"/>
      <c r="B345" s="74"/>
      <c r="C345" s="75"/>
      <c r="D345" s="75"/>
      <c r="E345" s="76"/>
      <c r="F345" s="122"/>
      <c r="G345" s="77"/>
    </row>
    <row r="346">
      <c r="A346" s="71"/>
      <c r="B346" s="71"/>
      <c r="C346" s="72"/>
      <c r="D346" s="72"/>
      <c r="E346" s="71"/>
      <c r="F346" s="123"/>
      <c r="G346" s="73"/>
    </row>
    <row r="347">
      <c r="A347" s="76"/>
      <c r="B347" s="76"/>
      <c r="C347" s="75"/>
      <c r="D347" s="75"/>
      <c r="E347" s="76"/>
      <c r="F347" s="122"/>
      <c r="G347" s="77"/>
    </row>
    <row r="348">
      <c r="A348" s="71"/>
      <c r="B348" s="71"/>
      <c r="C348" s="72"/>
      <c r="D348" s="72"/>
      <c r="E348" s="71"/>
      <c r="F348" s="123"/>
      <c r="G348" s="73"/>
    </row>
    <row r="349">
      <c r="A349" s="76"/>
      <c r="B349" s="76"/>
      <c r="C349" s="75"/>
      <c r="D349" s="75"/>
      <c r="E349" s="76"/>
      <c r="F349" s="122"/>
      <c r="G349" s="77"/>
    </row>
    <row r="350">
      <c r="A350" s="76"/>
      <c r="B350" s="76"/>
      <c r="C350" s="75"/>
      <c r="D350" s="75"/>
      <c r="E350" s="76"/>
      <c r="F350" s="122"/>
      <c r="G350" s="77"/>
    </row>
    <row r="351">
      <c r="A351" s="71"/>
      <c r="B351" s="71"/>
      <c r="C351" s="72"/>
      <c r="D351" s="72"/>
      <c r="E351" s="71"/>
      <c r="F351" s="123"/>
      <c r="G351" s="73"/>
    </row>
    <row r="352">
      <c r="A352" s="76"/>
      <c r="B352" s="76"/>
      <c r="C352" s="75"/>
      <c r="D352" s="75"/>
      <c r="E352" s="76"/>
      <c r="F352" s="122"/>
      <c r="G352" s="77"/>
    </row>
    <row r="353">
      <c r="A353" s="71"/>
      <c r="B353" s="71"/>
      <c r="C353" s="72"/>
      <c r="D353" s="72"/>
      <c r="E353" s="71"/>
      <c r="F353" s="123"/>
      <c r="G353" s="73"/>
    </row>
    <row r="354">
      <c r="A354" s="76"/>
      <c r="B354" s="76"/>
      <c r="C354" s="75"/>
      <c r="D354" s="75"/>
      <c r="E354" s="76"/>
      <c r="F354" s="122"/>
      <c r="G354" s="77"/>
    </row>
    <row r="355">
      <c r="A355" s="71"/>
      <c r="B355" s="71"/>
      <c r="C355" s="72"/>
      <c r="D355" s="72"/>
      <c r="E355" s="71"/>
      <c r="F355" s="123"/>
      <c r="G355" s="73"/>
    </row>
    <row r="356">
      <c r="A356" s="76"/>
      <c r="B356" s="76"/>
      <c r="C356" s="75"/>
      <c r="D356" s="75"/>
      <c r="E356" s="76"/>
      <c r="F356" s="122"/>
      <c r="G356" s="77"/>
    </row>
    <row r="357">
      <c r="A357" s="71"/>
      <c r="B357" s="71"/>
      <c r="C357" s="72"/>
      <c r="D357" s="72"/>
      <c r="E357" s="71"/>
      <c r="F357" s="123"/>
      <c r="G357" s="73"/>
    </row>
    <row r="358">
      <c r="A358" s="76"/>
      <c r="B358" s="76"/>
      <c r="C358" s="75"/>
      <c r="D358" s="75"/>
      <c r="E358" s="76"/>
      <c r="F358" s="122"/>
      <c r="G358" s="77"/>
    </row>
    <row r="359">
      <c r="A359" s="71"/>
      <c r="B359" s="71"/>
      <c r="C359" s="72"/>
      <c r="D359" s="72"/>
      <c r="E359" s="71"/>
      <c r="F359" s="123"/>
      <c r="G359" s="73"/>
    </row>
    <row r="360">
      <c r="A360" s="76"/>
      <c r="B360" s="76"/>
      <c r="C360" s="75"/>
      <c r="D360" s="75"/>
      <c r="E360" s="76"/>
      <c r="F360" s="122"/>
      <c r="G360" s="77"/>
    </row>
    <row r="361">
      <c r="A361" s="71"/>
      <c r="B361" s="71"/>
      <c r="C361" s="72"/>
      <c r="D361" s="72"/>
      <c r="E361" s="71"/>
      <c r="F361" s="123"/>
      <c r="G361" s="73"/>
    </row>
    <row r="362">
      <c r="A362" s="76"/>
      <c r="B362" s="76"/>
      <c r="C362" s="75"/>
      <c r="D362" s="75"/>
      <c r="E362" s="76"/>
      <c r="F362" s="122"/>
      <c r="G362" s="77"/>
    </row>
    <row r="363">
      <c r="A363" s="71"/>
      <c r="B363" s="71"/>
      <c r="C363" s="72"/>
      <c r="D363" s="72"/>
      <c r="E363" s="71"/>
      <c r="F363" s="123"/>
      <c r="G363" s="73"/>
    </row>
    <row r="364">
      <c r="A364" s="71"/>
      <c r="B364" s="78"/>
      <c r="C364" s="72"/>
      <c r="D364" s="72"/>
      <c r="E364" s="71"/>
      <c r="F364" s="123"/>
      <c r="G364" s="73"/>
    </row>
    <row r="365">
      <c r="A365" s="76"/>
      <c r="B365" s="76"/>
      <c r="C365" s="75"/>
      <c r="D365" s="75"/>
      <c r="E365" s="76"/>
      <c r="F365" s="122"/>
      <c r="G365" s="77"/>
    </row>
    <row r="366">
      <c r="A366" s="71"/>
      <c r="B366" s="71"/>
      <c r="C366" s="72"/>
      <c r="D366" s="72"/>
      <c r="E366" s="71"/>
      <c r="F366" s="123"/>
      <c r="G366" s="73"/>
    </row>
    <row r="367">
      <c r="A367" s="76"/>
      <c r="B367" s="76"/>
      <c r="C367" s="75"/>
      <c r="D367" s="75"/>
      <c r="E367" s="76"/>
      <c r="F367" s="122"/>
      <c r="G367" s="77"/>
    </row>
    <row r="368">
      <c r="A368" s="71"/>
      <c r="B368" s="78"/>
      <c r="C368" s="72"/>
      <c r="D368" s="72"/>
      <c r="E368" s="71"/>
      <c r="F368" s="123"/>
      <c r="G368" s="73"/>
    </row>
    <row r="369">
      <c r="A369" s="71"/>
      <c r="B369" s="78"/>
      <c r="C369" s="72"/>
      <c r="D369" s="72"/>
      <c r="E369" s="71"/>
      <c r="F369" s="123"/>
      <c r="G369" s="73"/>
    </row>
    <row r="370">
      <c r="A370" s="76"/>
      <c r="B370" s="76"/>
      <c r="C370" s="75"/>
      <c r="D370" s="76"/>
      <c r="E370" s="76"/>
      <c r="F370" s="122"/>
      <c r="G370" s="77"/>
    </row>
    <row r="371">
      <c r="A371" s="71"/>
      <c r="B371" s="71"/>
      <c r="C371" s="72"/>
      <c r="D371" s="76"/>
      <c r="E371" s="71"/>
      <c r="F371" s="123"/>
      <c r="G371" s="73"/>
    </row>
    <row r="372">
      <c r="A372" s="76"/>
      <c r="B372" s="76"/>
      <c r="C372" s="75"/>
      <c r="D372" s="76"/>
      <c r="E372" s="76"/>
      <c r="F372" s="122"/>
      <c r="G372" s="77"/>
    </row>
    <row r="373">
      <c r="A373" s="53"/>
      <c r="B373" s="53"/>
      <c r="C373" s="54"/>
      <c r="D373" s="54"/>
      <c r="E373" s="55"/>
      <c r="F373" s="63"/>
      <c r="G373" s="56"/>
    </row>
    <row r="374">
      <c r="A374" s="53"/>
      <c r="B374" s="53"/>
      <c r="C374" s="54"/>
      <c r="D374" s="54"/>
      <c r="E374" s="55"/>
      <c r="F374" s="63"/>
      <c r="G374" s="56"/>
    </row>
    <row r="375">
      <c r="A375" s="53"/>
      <c r="B375" s="53"/>
      <c r="C375" s="54"/>
      <c r="D375" s="54"/>
      <c r="E375" s="55"/>
      <c r="F375" s="63"/>
      <c r="G375" s="56"/>
    </row>
    <row r="376">
      <c r="A376" s="53"/>
      <c r="B376" s="53"/>
      <c r="C376" s="54"/>
      <c r="D376" s="54"/>
      <c r="E376" s="55"/>
      <c r="F376" s="63"/>
      <c r="G376" s="56"/>
    </row>
    <row r="377">
      <c r="A377" s="53"/>
      <c r="B377" s="53"/>
      <c r="C377" s="54"/>
      <c r="D377" s="54"/>
      <c r="E377" s="55"/>
      <c r="F377" s="63"/>
      <c r="G377" s="56"/>
    </row>
    <row r="378">
      <c r="A378" s="53"/>
      <c r="B378" s="53"/>
      <c r="C378" s="54"/>
      <c r="D378" s="54"/>
      <c r="E378" s="55"/>
      <c r="F378" s="63"/>
      <c r="G378" s="56"/>
    </row>
    <row r="379">
      <c r="A379" s="53"/>
      <c r="B379" s="53"/>
      <c r="C379" s="54"/>
      <c r="D379" s="54"/>
      <c r="E379" s="55"/>
      <c r="F379" s="63"/>
      <c r="G379" s="56"/>
    </row>
    <row r="380">
      <c r="A380" s="53"/>
      <c r="B380" s="53"/>
      <c r="C380" s="54"/>
      <c r="D380" s="54"/>
      <c r="E380" s="55"/>
      <c r="F380" s="63"/>
      <c r="G380" s="56"/>
    </row>
    <row r="381">
      <c r="A381" s="53"/>
      <c r="B381" s="53"/>
      <c r="C381" s="54"/>
      <c r="D381" s="54"/>
      <c r="E381" s="55"/>
      <c r="F381" s="63"/>
      <c r="G381" s="56"/>
    </row>
    <row r="382">
      <c r="A382" s="53"/>
      <c r="B382" s="53"/>
      <c r="C382" s="54"/>
      <c r="D382" s="54"/>
      <c r="E382" s="55"/>
      <c r="F382" s="63"/>
      <c r="G382" s="56"/>
    </row>
    <row r="383">
      <c r="A383" s="53"/>
      <c r="B383" s="53"/>
      <c r="C383" s="54"/>
      <c r="D383" s="62"/>
      <c r="E383" s="55"/>
      <c r="F383" s="63"/>
      <c r="G383" s="56"/>
    </row>
    <row r="384">
      <c r="A384" s="53"/>
      <c r="B384" s="53"/>
      <c r="C384" s="54"/>
      <c r="D384" s="62"/>
      <c r="E384" s="55"/>
      <c r="F384" s="63"/>
      <c r="G384" s="56"/>
    </row>
    <row r="385">
      <c r="A385" s="53"/>
      <c r="B385" s="53"/>
      <c r="C385" s="54"/>
      <c r="D385" s="62"/>
      <c r="E385" s="55"/>
      <c r="F385" s="63"/>
      <c r="G385" s="56"/>
    </row>
    <row r="386">
      <c r="A386" s="53"/>
      <c r="B386" s="53"/>
      <c r="C386" s="54"/>
      <c r="D386" s="62"/>
      <c r="E386" s="55"/>
      <c r="F386" s="63"/>
      <c r="G386" s="56"/>
    </row>
    <row r="387">
      <c r="A387" s="53"/>
      <c r="B387" s="53"/>
      <c r="C387" s="54"/>
      <c r="D387" s="62"/>
      <c r="E387" s="55"/>
      <c r="F387" s="63"/>
      <c r="G387" s="56"/>
    </row>
    <row r="388">
      <c r="A388" s="53"/>
      <c r="B388" s="53"/>
      <c r="C388" s="54"/>
      <c r="D388" s="62"/>
      <c r="E388" s="55"/>
      <c r="F388" s="63"/>
      <c r="G388" s="56"/>
    </row>
    <row r="389">
      <c r="A389" s="47"/>
      <c r="B389" s="97"/>
      <c r="C389" s="49"/>
      <c r="D389" s="49"/>
      <c r="E389" s="49"/>
      <c r="F389" s="98"/>
      <c r="G389" s="49"/>
    </row>
    <row r="390">
      <c r="A390" s="51"/>
      <c r="B390" s="51"/>
      <c r="C390" s="52"/>
      <c r="D390" s="52"/>
      <c r="E390" s="52"/>
      <c r="F390" s="52"/>
      <c r="G390" s="52"/>
    </row>
    <row r="391">
      <c r="A391" s="53"/>
      <c r="B391" s="53"/>
      <c r="C391" s="54"/>
      <c r="D391" s="54"/>
      <c r="E391" s="55"/>
      <c r="F391" s="124"/>
      <c r="G391" s="55"/>
    </row>
    <row r="392">
      <c r="A392" s="53"/>
      <c r="B392" s="53"/>
      <c r="C392" s="54"/>
      <c r="D392" s="54"/>
      <c r="E392" s="55"/>
      <c r="F392" s="124"/>
      <c r="G392" s="55"/>
    </row>
    <row r="393">
      <c r="A393" s="53"/>
      <c r="B393" s="53"/>
      <c r="C393" s="54"/>
      <c r="D393" s="54"/>
      <c r="E393" s="55"/>
      <c r="F393" s="124"/>
      <c r="G393" s="55"/>
    </row>
    <row r="394">
      <c r="A394" s="76"/>
      <c r="B394" s="74"/>
      <c r="C394" s="75"/>
      <c r="D394" s="75"/>
      <c r="E394" s="76"/>
      <c r="F394" s="122"/>
      <c r="G394" s="77"/>
    </row>
    <row r="395">
      <c r="A395" s="71"/>
      <c r="B395" s="71"/>
      <c r="C395" s="72"/>
      <c r="D395" s="72"/>
      <c r="E395" s="71"/>
      <c r="F395" s="123"/>
      <c r="G395" s="73"/>
    </row>
    <row r="396">
      <c r="A396" s="76"/>
      <c r="B396" s="76"/>
      <c r="C396" s="75"/>
      <c r="D396" s="75"/>
      <c r="E396" s="76"/>
      <c r="F396" s="122"/>
      <c r="G396" s="77"/>
    </row>
    <row r="397">
      <c r="A397" s="71"/>
      <c r="B397" s="71"/>
      <c r="C397" s="72"/>
      <c r="D397" s="72"/>
      <c r="E397" s="71"/>
      <c r="F397" s="123"/>
      <c r="G397" s="73"/>
    </row>
    <row r="398">
      <c r="A398" s="76"/>
      <c r="B398" s="76"/>
      <c r="C398" s="75"/>
      <c r="D398" s="75"/>
      <c r="E398" s="76"/>
      <c r="F398" s="122"/>
      <c r="G398" s="77"/>
    </row>
    <row r="399">
      <c r="A399" s="76"/>
      <c r="B399" s="76"/>
      <c r="C399" s="75"/>
      <c r="D399" s="75"/>
      <c r="E399" s="76"/>
      <c r="F399" s="122"/>
      <c r="G399" s="77"/>
    </row>
    <row r="400">
      <c r="A400" s="71"/>
      <c r="B400" s="71"/>
      <c r="C400" s="72"/>
      <c r="D400" s="72"/>
      <c r="E400" s="71"/>
      <c r="F400" s="123"/>
      <c r="G400" s="73"/>
    </row>
    <row r="401">
      <c r="A401" s="76"/>
      <c r="B401" s="76"/>
      <c r="C401" s="75"/>
      <c r="D401" s="75"/>
      <c r="E401" s="76"/>
      <c r="F401" s="122"/>
      <c r="G401" s="77"/>
    </row>
    <row r="402">
      <c r="A402" s="71"/>
      <c r="B402" s="71"/>
      <c r="C402" s="72"/>
      <c r="D402" s="72"/>
      <c r="E402" s="71"/>
      <c r="F402" s="123"/>
      <c r="G402" s="73"/>
    </row>
    <row r="403">
      <c r="A403" s="76"/>
      <c r="B403" s="76"/>
      <c r="C403" s="75"/>
      <c r="D403" s="75"/>
      <c r="E403" s="76"/>
      <c r="F403" s="122"/>
      <c r="G403" s="77"/>
    </row>
    <row r="404">
      <c r="A404" s="71"/>
      <c r="B404" s="71"/>
      <c r="C404" s="72"/>
      <c r="D404" s="72"/>
      <c r="E404" s="71"/>
      <c r="F404" s="123"/>
      <c r="G404" s="73"/>
    </row>
    <row r="405">
      <c r="A405" s="76"/>
      <c r="B405" s="76"/>
      <c r="C405" s="75"/>
      <c r="D405" s="75"/>
      <c r="E405" s="76"/>
      <c r="F405" s="122"/>
      <c r="G405" s="77"/>
    </row>
    <row r="406">
      <c r="A406" s="71"/>
      <c r="B406" s="71"/>
      <c r="C406" s="72"/>
      <c r="D406" s="72"/>
      <c r="E406" s="71"/>
      <c r="F406" s="123"/>
      <c r="G406" s="73"/>
    </row>
    <row r="407">
      <c r="A407" s="76"/>
      <c r="B407" s="76"/>
      <c r="C407" s="75"/>
      <c r="D407" s="75"/>
      <c r="E407" s="76"/>
      <c r="F407" s="122"/>
      <c r="G407" s="77"/>
    </row>
    <row r="408">
      <c r="A408" s="71"/>
      <c r="B408" s="71"/>
      <c r="C408" s="72"/>
      <c r="D408" s="72"/>
      <c r="E408" s="71"/>
      <c r="F408" s="123"/>
      <c r="G408" s="73"/>
    </row>
    <row r="409">
      <c r="A409" s="76"/>
      <c r="B409" s="76"/>
      <c r="C409" s="75"/>
      <c r="D409" s="75"/>
      <c r="E409" s="76"/>
      <c r="F409" s="122"/>
      <c r="G409" s="77"/>
    </row>
    <row r="410">
      <c r="A410" s="71"/>
      <c r="B410" s="71"/>
      <c r="C410" s="72"/>
      <c r="D410" s="72"/>
      <c r="E410" s="71"/>
      <c r="F410" s="123"/>
      <c r="G410" s="73"/>
    </row>
    <row r="411">
      <c r="A411" s="76"/>
      <c r="B411" s="76"/>
      <c r="C411" s="75"/>
      <c r="D411" s="75"/>
      <c r="E411" s="76"/>
      <c r="F411" s="122"/>
      <c r="G411" s="77"/>
    </row>
    <row r="412">
      <c r="A412" s="71"/>
      <c r="B412" s="71"/>
      <c r="C412" s="72"/>
      <c r="D412" s="72"/>
      <c r="E412" s="71"/>
      <c r="F412" s="123"/>
      <c r="G412" s="73"/>
    </row>
    <row r="413">
      <c r="A413" s="71"/>
      <c r="B413" s="78"/>
      <c r="C413" s="72"/>
      <c r="D413" s="72"/>
      <c r="E413" s="71"/>
      <c r="F413" s="123"/>
      <c r="G413" s="73"/>
    </row>
    <row r="414">
      <c r="A414" s="76"/>
      <c r="B414" s="76"/>
      <c r="C414" s="75"/>
      <c r="D414" s="75"/>
      <c r="E414" s="76"/>
      <c r="F414" s="122"/>
      <c r="G414" s="77"/>
    </row>
    <row r="415">
      <c r="A415" s="71"/>
      <c r="B415" s="71"/>
      <c r="C415" s="72"/>
      <c r="D415" s="72"/>
      <c r="E415" s="71"/>
      <c r="F415" s="123"/>
      <c r="G415" s="73"/>
    </row>
    <row r="416">
      <c r="A416" s="76"/>
      <c r="B416" s="76"/>
      <c r="C416" s="75"/>
      <c r="D416" s="75"/>
      <c r="E416" s="76"/>
      <c r="F416" s="122"/>
      <c r="G416" s="77"/>
    </row>
    <row r="417">
      <c r="A417" s="71"/>
      <c r="B417" s="78"/>
      <c r="C417" s="72"/>
      <c r="D417" s="72"/>
      <c r="E417" s="71"/>
      <c r="F417" s="123"/>
      <c r="G417" s="73"/>
    </row>
    <row r="418">
      <c r="A418" s="71"/>
      <c r="B418" s="78"/>
      <c r="C418" s="72"/>
      <c r="D418" s="72"/>
      <c r="E418" s="71"/>
      <c r="F418" s="123"/>
      <c r="G418" s="73"/>
    </row>
    <row r="419">
      <c r="A419" s="76"/>
      <c r="B419" s="76"/>
      <c r="C419" s="75"/>
      <c r="D419" s="76"/>
      <c r="E419" s="76"/>
      <c r="F419" s="122"/>
      <c r="G419" s="77"/>
    </row>
    <row r="420">
      <c r="A420" s="71"/>
      <c r="B420" s="71"/>
      <c r="C420" s="72"/>
      <c r="D420" s="76"/>
      <c r="E420" s="71"/>
      <c r="F420" s="123"/>
      <c r="G420" s="73"/>
    </row>
    <row r="421">
      <c r="A421" s="76"/>
      <c r="B421" s="76"/>
      <c r="C421" s="75"/>
      <c r="D421" s="76"/>
      <c r="E421" s="76"/>
      <c r="F421" s="122"/>
      <c r="G421" s="77"/>
    </row>
    <row r="422">
      <c r="A422" s="53"/>
      <c r="B422" s="53"/>
      <c r="C422" s="54"/>
      <c r="D422" s="54"/>
      <c r="E422" s="55"/>
      <c r="F422" s="63"/>
      <c r="G422" s="56"/>
    </row>
    <row r="423">
      <c r="A423" s="53"/>
      <c r="B423" s="53"/>
      <c r="C423" s="54"/>
      <c r="D423" s="54"/>
      <c r="E423" s="55"/>
      <c r="F423" s="63"/>
      <c r="G423" s="56"/>
    </row>
    <row r="424">
      <c r="A424" s="53"/>
      <c r="B424" s="53"/>
      <c r="C424" s="54"/>
      <c r="D424" s="54"/>
      <c r="E424" s="55"/>
      <c r="F424" s="63"/>
      <c r="G424" s="56"/>
    </row>
    <row r="425">
      <c r="A425" s="53"/>
      <c r="B425" s="53"/>
      <c r="C425" s="54"/>
      <c r="D425" s="54"/>
      <c r="E425" s="55"/>
      <c r="F425" s="63"/>
      <c r="G425" s="56"/>
    </row>
    <row r="426">
      <c r="A426" s="53"/>
      <c r="B426" s="53"/>
      <c r="C426" s="54"/>
      <c r="D426" s="54"/>
      <c r="E426" s="55"/>
      <c r="F426" s="63"/>
      <c r="G426" s="56"/>
    </row>
    <row r="427">
      <c r="A427" s="53"/>
      <c r="B427" s="53"/>
      <c r="C427" s="54"/>
      <c r="D427" s="54"/>
      <c r="E427" s="55"/>
      <c r="F427" s="63"/>
      <c r="G427" s="56"/>
    </row>
    <row r="428">
      <c r="A428" s="53"/>
      <c r="B428" s="53"/>
      <c r="C428" s="54"/>
      <c r="D428" s="54"/>
      <c r="E428" s="55"/>
      <c r="F428" s="63"/>
      <c r="G428" s="56"/>
    </row>
    <row r="429">
      <c r="A429" s="53"/>
      <c r="B429" s="53"/>
      <c r="C429" s="54"/>
      <c r="D429" s="54"/>
      <c r="E429" s="55"/>
      <c r="F429" s="63"/>
      <c r="G429" s="56"/>
    </row>
    <row r="430">
      <c r="A430" s="53"/>
      <c r="B430" s="53"/>
      <c r="C430" s="54"/>
      <c r="D430" s="54"/>
      <c r="E430" s="55"/>
      <c r="F430" s="63"/>
      <c r="G430" s="56"/>
    </row>
    <row r="431">
      <c r="A431" s="53"/>
      <c r="B431" s="53"/>
      <c r="C431" s="54"/>
      <c r="D431" s="54"/>
      <c r="E431" s="55"/>
      <c r="F431" s="63"/>
      <c r="G431" s="56"/>
    </row>
    <row r="432">
      <c r="A432" s="53"/>
      <c r="B432" s="53"/>
      <c r="C432" s="54"/>
      <c r="D432" s="62"/>
      <c r="E432" s="55"/>
      <c r="F432" s="63"/>
      <c r="G432" s="56"/>
    </row>
    <row r="433">
      <c r="A433" s="53"/>
      <c r="B433" s="53"/>
      <c r="C433" s="54"/>
      <c r="D433" s="62"/>
      <c r="E433" s="55"/>
      <c r="F433" s="63"/>
      <c r="G433" s="56"/>
    </row>
    <row r="434">
      <c r="A434" s="53"/>
      <c r="B434" s="53"/>
      <c r="C434" s="54"/>
      <c r="D434" s="62"/>
      <c r="E434" s="55"/>
      <c r="F434" s="63"/>
      <c r="G434" s="56"/>
    </row>
    <row r="435">
      <c r="A435" s="53"/>
      <c r="B435" s="53"/>
      <c r="C435" s="54"/>
      <c r="D435" s="62"/>
      <c r="E435" s="55"/>
      <c r="F435" s="63"/>
      <c r="G435" s="56"/>
    </row>
    <row r="436">
      <c r="A436" s="53"/>
      <c r="B436" s="53"/>
      <c r="C436" s="54"/>
      <c r="D436" s="62"/>
      <c r="E436" s="55"/>
      <c r="F436" s="63"/>
      <c r="G436" s="56"/>
    </row>
    <row r="437">
      <c r="A437" s="53"/>
      <c r="B437" s="53"/>
      <c r="C437" s="54"/>
      <c r="D437" s="62"/>
      <c r="E437" s="55"/>
      <c r="F437" s="63"/>
      <c r="G437" s="56"/>
    </row>
    <row r="438">
      <c r="A438" s="47"/>
      <c r="B438" s="97"/>
      <c r="C438" s="49"/>
      <c r="D438" s="49"/>
      <c r="E438" s="49"/>
      <c r="F438" s="98"/>
      <c r="G438" s="49"/>
    </row>
    <row r="439">
      <c r="A439" s="51"/>
      <c r="B439" s="51"/>
      <c r="C439" s="52"/>
      <c r="D439" s="52"/>
      <c r="E439" s="52"/>
      <c r="F439" s="52"/>
      <c r="G439" s="52"/>
    </row>
    <row r="440">
      <c r="A440" s="53"/>
      <c r="B440" s="53"/>
      <c r="C440" s="54"/>
      <c r="D440" s="54"/>
      <c r="E440" s="55"/>
      <c r="F440" s="124"/>
      <c r="G440" s="55"/>
    </row>
    <row r="441">
      <c r="A441" s="53"/>
      <c r="B441" s="53"/>
      <c r="C441" s="54"/>
      <c r="D441" s="54"/>
      <c r="E441" s="55"/>
      <c r="F441" s="124"/>
      <c r="G441" s="55"/>
    </row>
    <row r="442">
      <c r="A442" s="53"/>
      <c r="B442" s="53"/>
      <c r="C442" s="54"/>
      <c r="D442" s="54"/>
      <c r="E442" s="55"/>
      <c r="F442" s="124"/>
      <c r="G442" s="55"/>
    </row>
    <row r="443">
      <c r="A443" s="76"/>
      <c r="B443" s="74"/>
      <c r="C443" s="75"/>
      <c r="D443" s="75"/>
      <c r="E443" s="76"/>
      <c r="F443" s="122"/>
      <c r="G443" s="77"/>
    </row>
    <row r="444">
      <c r="A444" s="71"/>
      <c r="B444" s="71"/>
      <c r="C444" s="72"/>
      <c r="D444" s="72"/>
      <c r="E444" s="71"/>
      <c r="F444" s="123"/>
      <c r="G444" s="73"/>
    </row>
    <row r="445">
      <c r="A445" s="76"/>
      <c r="B445" s="76"/>
      <c r="C445" s="75"/>
      <c r="D445" s="75"/>
      <c r="E445" s="76"/>
      <c r="F445" s="122"/>
      <c r="G445" s="77"/>
    </row>
    <row r="446">
      <c r="A446" s="71"/>
      <c r="B446" s="71"/>
      <c r="C446" s="72"/>
      <c r="D446" s="72"/>
      <c r="E446" s="71"/>
      <c r="F446" s="123"/>
      <c r="G446" s="73"/>
    </row>
    <row r="447">
      <c r="A447" s="76"/>
      <c r="B447" s="76"/>
      <c r="C447" s="75"/>
      <c r="D447" s="75"/>
      <c r="E447" s="76"/>
      <c r="F447" s="122"/>
      <c r="G447" s="77"/>
    </row>
    <row r="448">
      <c r="A448" s="76"/>
      <c r="B448" s="76"/>
      <c r="C448" s="75"/>
      <c r="D448" s="75"/>
      <c r="E448" s="76"/>
      <c r="F448" s="122"/>
      <c r="G448" s="77"/>
    </row>
    <row r="449">
      <c r="A449" s="71"/>
      <c r="B449" s="71"/>
      <c r="C449" s="72"/>
      <c r="D449" s="72"/>
      <c r="E449" s="71"/>
      <c r="F449" s="123"/>
      <c r="G449" s="73"/>
    </row>
    <row r="450">
      <c r="A450" s="76"/>
      <c r="B450" s="76"/>
      <c r="C450" s="75"/>
      <c r="D450" s="75"/>
      <c r="E450" s="76"/>
      <c r="F450" s="122"/>
      <c r="G450" s="77"/>
    </row>
    <row r="451">
      <c r="A451" s="71"/>
      <c r="B451" s="71"/>
      <c r="C451" s="72"/>
      <c r="D451" s="72"/>
      <c r="E451" s="71"/>
      <c r="F451" s="123"/>
      <c r="G451" s="73"/>
    </row>
    <row r="452">
      <c r="A452" s="76"/>
      <c r="B452" s="76"/>
      <c r="C452" s="75"/>
      <c r="D452" s="75"/>
      <c r="E452" s="76"/>
      <c r="F452" s="122"/>
      <c r="G452" s="77"/>
    </row>
    <row r="453">
      <c r="A453" s="71"/>
      <c r="B453" s="71"/>
      <c r="C453" s="72"/>
      <c r="D453" s="72"/>
      <c r="E453" s="71"/>
      <c r="F453" s="123"/>
      <c r="G453" s="73"/>
    </row>
    <row r="454">
      <c r="A454" s="76"/>
      <c r="B454" s="76"/>
      <c r="C454" s="75"/>
      <c r="D454" s="75"/>
      <c r="E454" s="76"/>
      <c r="F454" s="122"/>
      <c r="G454" s="77"/>
    </row>
    <row r="455">
      <c r="A455" s="71"/>
      <c r="B455" s="71"/>
      <c r="C455" s="72"/>
      <c r="D455" s="72"/>
      <c r="E455" s="71"/>
      <c r="F455" s="123"/>
      <c r="G455" s="73"/>
    </row>
    <row r="456">
      <c r="A456" s="76"/>
      <c r="B456" s="76"/>
      <c r="C456" s="75"/>
      <c r="D456" s="75"/>
      <c r="E456" s="76"/>
      <c r="F456" s="122"/>
      <c r="G456" s="77"/>
    </row>
    <row r="457">
      <c r="A457" s="71"/>
      <c r="B457" s="71"/>
      <c r="C457" s="72"/>
      <c r="D457" s="72"/>
      <c r="E457" s="71"/>
      <c r="F457" s="123"/>
      <c r="G457" s="73"/>
    </row>
    <row r="458">
      <c r="A458" s="76"/>
      <c r="B458" s="76"/>
      <c r="C458" s="75"/>
      <c r="D458" s="75"/>
      <c r="E458" s="76"/>
      <c r="F458" s="122"/>
      <c r="G458" s="77"/>
    </row>
    <row r="459">
      <c r="A459" s="71"/>
      <c r="B459" s="71"/>
      <c r="C459" s="72"/>
      <c r="D459" s="72"/>
      <c r="E459" s="71"/>
      <c r="F459" s="123"/>
      <c r="G459" s="73"/>
    </row>
    <row r="460">
      <c r="A460" s="76"/>
      <c r="B460" s="76"/>
      <c r="C460" s="75"/>
      <c r="D460" s="75"/>
      <c r="E460" s="76"/>
      <c r="F460" s="122"/>
      <c r="G460" s="77"/>
    </row>
    <row r="461">
      <c r="A461" s="71"/>
      <c r="B461" s="71"/>
      <c r="C461" s="72"/>
      <c r="D461" s="72"/>
      <c r="E461" s="71"/>
      <c r="F461" s="123"/>
      <c r="G461" s="73"/>
    </row>
    <row r="462">
      <c r="A462" s="71"/>
      <c r="B462" s="78"/>
      <c r="C462" s="72"/>
      <c r="D462" s="72"/>
      <c r="E462" s="71"/>
      <c r="F462" s="123"/>
      <c r="G462" s="73"/>
    </row>
    <row r="463">
      <c r="A463" s="76"/>
      <c r="B463" s="76"/>
      <c r="C463" s="75"/>
      <c r="D463" s="75"/>
      <c r="E463" s="76"/>
      <c r="F463" s="122"/>
      <c r="G463" s="77"/>
    </row>
    <row r="464">
      <c r="A464" s="71"/>
      <c r="B464" s="71"/>
      <c r="C464" s="72"/>
      <c r="D464" s="72"/>
      <c r="E464" s="71"/>
      <c r="F464" s="123"/>
      <c r="G464" s="73"/>
    </row>
    <row r="465">
      <c r="A465" s="76"/>
      <c r="B465" s="76"/>
      <c r="C465" s="75"/>
      <c r="D465" s="75"/>
      <c r="E465" s="76"/>
      <c r="F465" s="122"/>
      <c r="G465" s="77"/>
    </row>
    <row r="466">
      <c r="A466" s="71"/>
      <c r="B466" s="78"/>
      <c r="C466" s="72"/>
      <c r="D466" s="72"/>
      <c r="E466" s="71"/>
      <c r="F466" s="123"/>
      <c r="G466" s="73"/>
    </row>
    <row r="467">
      <c r="A467" s="71"/>
      <c r="B467" s="78"/>
      <c r="C467" s="72"/>
      <c r="D467" s="72"/>
      <c r="E467" s="71"/>
      <c r="F467" s="123"/>
      <c r="G467" s="73"/>
    </row>
    <row r="468">
      <c r="A468" s="76"/>
      <c r="B468" s="76"/>
      <c r="C468" s="75"/>
      <c r="D468" s="76"/>
      <c r="E468" s="76"/>
      <c r="F468" s="122"/>
      <c r="G468" s="77"/>
    </row>
    <row r="469">
      <c r="A469" s="71"/>
      <c r="B469" s="71"/>
      <c r="C469" s="72"/>
      <c r="D469" s="76"/>
      <c r="E469" s="71"/>
      <c r="F469" s="123"/>
      <c r="G469" s="73"/>
    </row>
    <row r="470">
      <c r="A470" s="76"/>
      <c r="B470" s="76"/>
      <c r="C470" s="75"/>
      <c r="D470" s="76"/>
      <c r="E470" s="76"/>
      <c r="F470" s="122"/>
      <c r="G470" s="77"/>
    </row>
    <row r="471">
      <c r="A471" s="53"/>
      <c r="B471" s="53"/>
      <c r="C471" s="54"/>
      <c r="D471" s="54"/>
      <c r="E471" s="55"/>
      <c r="F471" s="63"/>
      <c r="G471" s="56"/>
    </row>
    <row r="472">
      <c r="A472" s="53"/>
      <c r="B472" s="53"/>
      <c r="C472" s="54"/>
      <c r="D472" s="54"/>
      <c r="E472" s="55"/>
      <c r="F472" s="63"/>
      <c r="G472" s="56"/>
    </row>
    <row r="473">
      <c r="A473" s="53"/>
      <c r="B473" s="53"/>
      <c r="C473" s="54"/>
      <c r="D473" s="54"/>
      <c r="E473" s="55"/>
      <c r="F473" s="63"/>
      <c r="G473" s="56"/>
    </row>
    <row r="474">
      <c r="A474" s="53"/>
      <c r="B474" s="53"/>
      <c r="C474" s="54"/>
      <c r="D474" s="54"/>
      <c r="E474" s="55"/>
      <c r="F474" s="63"/>
      <c r="G474" s="56"/>
    </row>
    <row r="475">
      <c r="A475" s="53"/>
      <c r="B475" s="53"/>
      <c r="C475" s="54"/>
      <c r="D475" s="54"/>
      <c r="E475" s="55"/>
      <c r="F475" s="63"/>
      <c r="G475" s="56"/>
    </row>
    <row r="476">
      <c r="A476" s="53"/>
      <c r="B476" s="53"/>
      <c r="C476" s="54"/>
      <c r="D476" s="54"/>
      <c r="E476" s="55"/>
      <c r="F476" s="63"/>
      <c r="G476" s="56"/>
    </row>
    <row r="477">
      <c r="A477" s="53"/>
      <c r="B477" s="53"/>
      <c r="C477" s="54"/>
      <c r="D477" s="54"/>
      <c r="E477" s="55"/>
      <c r="F477" s="63"/>
      <c r="G477" s="56"/>
    </row>
    <row r="478">
      <c r="A478" s="53"/>
      <c r="B478" s="53"/>
      <c r="C478" s="54"/>
      <c r="D478" s="54"/>
      <c r="E478" s="55"/>
      <c r="F478" s="63"/>
      <c r="G478" s="56"/>
    </row>
    <row r="479">
      <c r="A479" s="53"/>
      <c r="B479" s="53"/>
      <c r="C479" s="54"/>
      <c r="D479" s="54"/>
      <c r="E479" s="55"/>
      <c r="F479" s="63"/>
      <c r="G479" s="56"/>
    </row>
    <row r="480">
      <c r="A480" s="53"/>
      <c r="B480" s="53"/>
      <c r="C480" s="54"/>
      <c r="D480" s="54"/>
      <c r="E480" s="55"/>
      <c r="F480" s="63"/>
      <c r="G480" s="56"/>
    </row>
    <row r="481">
      <c r="A481" s="53"/>
      <c r="B481" s="53"/>
      <c r="C481" s="54"/>
      <c r="D481" s="62"/>
      <c r="E481" s="55"/>
      <c r="F481" s="63"/>
      <c r="G481" s="56"/>
    </row>
    <row r="482">
      <c r="A482" s="53"/>
      <c r="B482" s="53"/>
      <c r="C482" s="54"/>
      <c r="D482" s="62"/>
      <c r="E482" s="55"/>
      <c r="F482" s="63"/>
      <c r="G482" s="56"/>
    </row>
    <row r="483">
      <c r="A483" s="53"/>
      <c r="B483" s="53"/>
      <c r="C483" s="54"/>
      <c r="D483" s="62"/>
      <c r="E483" s="55"/>
      <c r="F483" s="63"/>
      <c r="G483" s="56"/>
    </row>
    <row r="484">
      <c r="A484" s="53"/>
      <c r="B484" s="53"/>
      <c r="C484" s="54"/>
      <c r="D484" s="62"/>
      <c r="E484" s="55"/>
      <c r="F484" s="63"/>
      <c r="G484" s="56"/>
    </row>
    <row r="485">
      <c r="A485" s="53"/>
      <c r="B485" s="53"/>
      <c r="C485" s="54"/>
      <c r="D485" s="62"/>
      <c r="E485" s="55"/>
      <c r="F485" s="63"/>
      <c r="G485" s="56"/>
    </row>
    <row r="486">
      <c r="A486" s="53"/>
      <c r="B486" s="53"/>
      <c r="C486" s="54"/>
      <c r="D486" s="62"/>
      <c r="E486" s="55"/>
      <c r="F486" s="63"/>
      <c r="G486" s="56"/>
    </row>
    <row r="487">
      <c r="A487" s="47"/>
      <c r="B487" s="97"/>
      <c r="C487" s="49"/>
      <c r="D487" s="49"/>
      <c r="E487" s="49"/>
      <c r="F487" s="98"/>
      <c r="G487" s="49"/>
    </row>
    <row r="488">
      <c r="A488" s="51"/>
      <c r="B488" s="51"/>
      <c r="C488" s="52"/>
      <c r="D488" s="52"/>
      <c r="E488" s="52"/>
      <c r="F488" s="52"/>
      <c r="G488" s="52"/>
    </row>
    <row r="489">
      <c r="A489" s="53"/>
      <c r="B489" s="53"/>
      <c r="C489" s="54"/>
      <c r="D489" s="54"/>
      <c r="E489" s="55"/>
      <c r="F489" s="124"/>
      <c r="G489" s="55"/>
    </row>
    <row r="490">
      <c r="A490" s="53"/>
      <c r="B490" s="53"/>
      <c r="C490" s="54"/>
      <c r="D490" s="54"/>
      <c r="E490" s="55"/>
      <c r="F490" s="124"/>
      <c r="G490" s="55"/>
    </row>
    <row r="491">
      <c r="A491" s="53"/>
      <c r="B491" s="53"/>
      <c r="C491" s="54"/>
      <c r="D491" s="54"/>
      <c r="E491" s="55"/>
      <c r="F491" s="124"/>
      <c r="G491" s="55"/>
    </row>
    <row r="492">
      <c r="A492" s="76"/>
      <c r="B492" s="74"/>
      <c r="C492" s="75"/>
      <c r="D492" s="75"/>
      <c r="E492" s="76"/>
      <c r="F492" s="122"/>
      <c r="G492" s="77"/>
    </row>
    <row r="493">
      <c r="A493" s="71"/>
      <c r="B493" s="71"/>
      <c r="C493" s="72"/>
      <c r="D493" s="72"/>
      <c r="E493" s="71"/>
      <c r="F493" s="123"/>
      <c r="G493" s="73"/>
    </row>
    <row r="494">
      <c r="A494" s="76"/>
      <c r="B494" s="76"/>
      <c r="C494" s="75"/>
      <c r="D494" s="75"/>
      <c r="E494" s="76"/>
      <c r="F494" s="122"/>
      <c r="G494" s="77"/>
    </row>
    <row r="495">
      <c r="A495" s="71"/>
      <c r="B495" s="71"/>
      <c r="C495" s="72"/>
      <c r="D495" s="72"/>
      <c r="E495" s="71"/>
      <c r="F495" s="123"/>
      <c r="G495" s="73"/>
    </row>
    <row r="496">
      <c r="A496" s="76"/>
      <c r="B496" s="76"/>
      <c r="C496" s="75"/>
      <c r="D496" s="75"/>
      <c r="E496" s="76"/>
      <c r="F496" s="122"/>
      <c r="G496" s="77"/>
    </row>
    <row r="497">
      <c r="A497" s="76"/>
      <c r="B497" s="76"/>
      <c r="C497" s="75"/>
      <c r="D497" s="75"/>
      <c r="E497" s="76"/>
      <c r="F497" s="122"/>
      <c r="G497" s="77"/>
    </row>
    <row r="498">
      <c r="A498" s="71"/>
      <c r="B498" s="71"/>
      <c r="C498" s="72"/>
      <c r="D498" s="72"/>
      <c r="E498" s="71"/>
      <c r="F498" s="123"/>
      <c r="G498" s="73"/>
    </row>
    <row r="499">
      <c r="A499" s="76"/>
      <c r="B499" s="76"/>
      <c r="C499" s="75"/>
      <c r="D499" s="75"/>
      <c r="E499" s="76"/>
      <c r="F499" s="122"/>
      <c r="G499" s="77"/>
    </row>
    <row r="500">
      <c r="A500" s="71"/>
      <c r="B500" s="71"/>
      <c r="C500" s="72"/>
      <c r="D500" s="72"/>
      <c r="E500" s="71"/>
      <c r="F500" s="123"/>
      <c r="G500" s="73"/>
    </row>
    <row r="501">
      <c r="A501" s="76"/>
      <c r="B501" s="76"/>
      <c r="C501" s="75"/>
      <c r="D501" s="75"/>
      <c r="E501" s="76"/>
      <c r="F501" s="122"/>
      <c r="G501" s="77"/>
    </row>
    <row r="502">
      <c r="A502" s="71"/>
      <c r="B502" s="71"/>
      <c r="C502" s="72"/>
      <c r="D502" s="72"/>
      <c r="E502" s="71"/>
      <c r="F502" s="123"/>
      <c r="G502" s="73"/>
    </row>
    <row r="503">
      <c r="A503" s="76"/>
      <c r="B503" s="76"/>
      <c r="C503" s="75"/>
      <c r="D503" s="75"/>
      <c r="E503" s="76"/>
      <c r="F503" s="122"/>
      <c r="G503" s="77"/>
    </row>
    <row r="504">
      <c r="A504" s="71"/>
      <c r="B504" s="71"/>
      <c r="C504" s="72"/>
      <c r="D504" s="72"/>
      <c r="E504" s="71"/>
      <c r="F504" s="123"/>
      <c r="G504" s="73"/>
    </row>
    <row r="505">
      <c r="A505" s="76"/>
      <c r="B505" s="76"/>
      <c r="C505" s="75"/>
      <c r="D505" s="75"/>
      <c r="E505" s="76"/>
      <c r="F505" s="122"/>
      <c r="G505" s="77"/>
    </row>
    <row r="506">
      <c r="A506" s="71"/>
      <c r="B506" s="71"/>
      <c r="C506" s="72"/>
      <c r="D506" s="72"/>
      <c r="E506" s="71"/>
      <c r="F506" s="123"/>
      <c r="G506" s="73"/>
    </row>
    <row r="507">
      <c r="A507" s="76"/>
      <c r="B507" s="76"/>
      <c r="C507" s="75"/>
      <c r="D507" s="75"/>
      <c r="E507" s="76"/>
      <c r="F507" s="122"/>
      <c r="G507" s="77"/>
    </row>
    <row r="508">
      <c r="A508" s="71"/>
      <c r="B508" s="71"/>
      <c r="C508" s="72"/>
      <c r="D508" s="72"/>
      <c r="E508" s="71"/>
      <c r="F508" s="123"/>
      <c r="G508" s="73"/>
    </row>
    <row r="509">
      <c r="A509" s="76"/>
      <c r="B509" s="76"/>
      <c r="C509" s="75"/>
      <c r="D509" s="75"/>
      <c r="E509" s="76"/>
      <c r="F509" s="122"/>
      <c r="G509" s="77"/>
    </row>
    <row r="510">
      <c r="A510" s="71"/>
      <c r="B510" s="71"/>
      <c r="C510" s="72"/>
      <c r="D510" s="72"/>
      <c r="E510" s="71"/>
      <c r="F510" s="123"/>
      <c r="G510" s="73"/>
    </row>
    <row r="511">
      <c r="A511" s="71"/>
      <c r="B511" s="78"/>
      <c r="C511" s="72"/>
      <c r="D511" s="72"/>
      <c r="E511" s="71"/>
      <c r="F511" s="123"/>
      <c r="G511" s="73"/>
    </row>
    <row r="512">
      <c r="A512" s="76"/>
      <c r="B512" s="76"/>
      <c r="C512" s="75"/>
      <c r="D512" s="75"/>
      <c r="E512" s="76"/>
      <c r="F512" s="122"/>
      <c r="G512" s="77"/>
    </row>
    <row r="513">
      <c r="A513" s="71"/>
      <c r="B513" s="71"/>
      <c r="C513" s="72"/>
      <c r="D513" s="72"/>
      <c r="E513" s="71"/>
      <c r="F513" s="123"/>
      <c r="G513" s="73"/>
    </row>
    <row r="514">
      <c r="A514" s="76"/>
      <c r="B514" s="76"/>
      <c r="C514" s="75"/>
      <c r="D514" s="75"/>
      <c r="E514" s="76"/>
      <c r="F514" s="122"/>
      <c r="G514" s="77"/>
    </row>
    <row r="515">
      <c r="A515" s="71"/>
      <c r="B515" s="78"/>
      <c r="C515" s="72"/>
      <c r="D515" s="72"/>
      <c r="E515" s="71"/>
      <c r="F515" s="123"/>
      <c r="G515" s="73"/>
    </row>
    <row r="516">
      <c r="A516" s="71"/>
      <c r="B516" s="78"/>
      <c r="C516" s="72"/>
      <c r="D516" s="72"/>
      <c r="E516" s="71"/>
      <c r="F516" s="123"/>
      <c r="G516" s="73"/>
    </row>
    <row r="517">
      <c r="A517" s="76"/>
      <c r="B517" s="76"/>
      <c r="C517" s="75"/>
      <c r="D517" s="76"/>
      <c r="E517" s="76"/>
      <c r="F517" s="122"/>
      <c r="G517" s="77"/>
    </row>
    <row r="518">
      <c r="A518" s="71"/>
      <c r="B518" s="71"/>
      <c r="C518" s="72"/>
      <c r="D518" s="76"/>
      <c r="E518" s="71"/>
      <c r="F518" s="123"/>
      <c r="G518" s="73"/>
    </row>
    <row r="519">
      <c r="A519" s="76"/>
      <c r="B519" s="76"/>
      <c r="C519" s="75"/>
      <c r="D519" s="76"/>
      <c r="E519" s="76"/>
      <c r="F519" s="122"/>
      <c r="G519" s="77"/>
    </row>
    <row r="520">
      <c r="A520" s="53"/>
      <c r="B520" s="53"/>
      <c r="C520" s="54"/>
      <c r="D520" s="54"/>
      <c r="E520" s="55"/>
      <c r="F520" s="63"/>
      <c r="G520" s="56"/>
    </row>
    <row r="521">
      <c r="A521" s="53"/>
      <c r="B521" s="53"/>
      <c r="C521" s="54"/>
      <c r="D521" s="54"/>
      <c r="E521" s="55"/>
      <c r="F521" s="63"/>
      <c r="G521" s="56"/>
    </row>
    <row r="522">
      <c r="A522" s="53"/>
      <c r="B522" s="53"/>
      <c r="C522" s="54"/>
      <c r="D522" s="54"/>
      <c r="E522" s="55"/>
      <c r="F522" s="63"/>
      <c r="G522" s="56"/>
    </row>
    <row r="523">
      <c r="A523" s="53"/>
      <c r="B523" s="53"/>
      <c r="C523" s="54"/>
      <c r="D523" s="54"/>
      <c r="E523" s="55"/>
      <c r="F523" s="63"/>
      <c r="G523" s="56"/>
    </row>
    <row r="524">
      <c r="A524" s="53"/>
      <c r="B524" s="53"/>
      <c r="C524" s="54"/>
      <c r="D524" s="54"/>
      <c r="E524" s="55"/>
      <c r="F524" s="63"/>
      <c r="G524" s="56"/>
    </row>
    <row r="525">
      <c r="A525" s="53"/>
      <c r="B525" s="53"/>
      <c r="C525" s="54"/>
      <c r="D525" s="54"/>
      <c r="E525" s="55"/>
      <c r="F525" s="63"/>
      <c r="G525" s="56"/>
    </row>
    <row r="526">
      <c r="A526" s="53"/>
      <c r="B526" s="53"/>
      <c r="C526" s="54"/>
      <c r="D526" s="54"/>
      <c r="E526" s="55"/>
      <c r="F526" s="63"/>
      <c r="G526" s="56"/>
    </row>
    <row r="527">
      <c r="A527" s="53"/>
      <c r="B527" s="53"/>
      <c r="C527" s="54"/>
      <c r="D527" s="54"/>
      <c r="E527" s="55"/>
      <c r="F527" s="63"/>
      <c r="G527" s="56"/>
    </row>
    <row r="528">
      <c r="A528" s="53"/>
      <c r="B528" s="53"/>
      <c r="C528" s="54"/>
      <c r="D528" s="54"/>
      <c r="E528" s="55"/>
      <c r="F528" s="63"/>
      <c r="G528" s="56"/>
    </row>
    <row r="529">
      <c r="A529" s="53"/>
      <c r="B529" s="53"/>
      <c r="C529" s="54"/>
      <c r="D529" s="54"/>
      <c r="E529" s="55"/>
      <c r="F529" s="63"/>
      <c r="G529" s="56"/>
    </row>
    <row r="530">
      <c r="A530" s="53"/>
      <c r="B530" s="53"/>
      <c r="C530" s="54"/>
      <c r="D530" s="62"/>
      <c r="E530" s="55"/>
      <c r="F530" s="63"/>
      <c r="G530" s="56"/>
    </row>
    <row r="531">
      <c r="A531" s="53"/>
      <c r="B531" s="53"/>
      <c r="C531" s="54"/>
      <c r="D531" s="62"/>
      <c r="E531" s="55"/>
      <c r="F531" s="63"/>
      <c r="G531" s="56"/>
    </row>
    <row r="532">
      <c r="A532" s="53"/>
      <c r="B532" s="53"/>
      <c r="C532" s="54"/>
      <c r="D532" s="62"/>
      <c r="E532" s="55"/>
      <c r="F532" s="63"/>
      <c r="G532" s="56"/>
    </row>
    <row r="533">
      <c r="A533" s="53"/>
      <c r="B533" s="53"/>
      <c r="C533" s="54"/>
      <c r="D533" s="62"/>
      <c r="E533" s="55"/>
      <c r="F533" s="63"/>
      <c r="G533" s="56"/>
    </row>
    <row r="534">
      <c r="A534" s="53"/>
      <c r="B534" s="53"/>
      <c r="C534" s="54"/>
      <c r="D534" s="62"/>
      <c r="E534" s="55"/>
      <c r="F534" s="63"/>
      <c r="G534" s="56"/>
    </row>
    <row r="535">
      <c r="A535" s="53"/>
      <c r="B535" s="53"/>
      <c r="C535" s="54"/>
      <c r="D535" s="62"/>
      <c r="E535" s="55"/>
      <c r="F535" s="63"/>
      <c r="G535" s="56"/>
    </row>
    <row r="536">
      <c r="A536" s="47"/>
      <c r="B536" s="97"/>
      <c r="C536" s="49"/>
      <c r="D536" s="49"/>
      <c r="E536" s="49"/>
      <c r="F536" s="98"/>
      <c r="G536" s="49"/>
    </row>
    <row r="537">
      <c r="A537" s="51"/>
      <c r="B537" s="51"/>
      <c r="C537" s="52"/>
      <c r="D537" s="52"/>
      <c r="E537" s="52"/>
      <c r="F537" s="52"/>
      <c r="G537" s="52"/>
    </row>
    <row r="538">
      <c r="A538" s="53"/>
      <c r="B538" s="53"/>
      <c r="C538" s="54"/>
      <c r="D538" s="54"/>
      <c r="E538" s="55"/>
      <c r="F538" s="124"/>
      <c r="G538" s="55"/>
    </row>
    <row r="539">
      <c r="A539" s="53"/>
      <c r="B539" s="53"/>
      <c r="C539" s="54"/>
      <c r="D539" s="54"/>
      <c r="E539" s="55"/>
      <c r="F539" s="124"/>
      <c r="G539" s="55"/>
    </row>
    <row r="540">
      <c r="A540" s="53"/>
      <c r="B540" s="53"/>
      <c r="C540" s="54"/>
      <c r="D540" s="54"/>
      <c r="E540" s="55"/>
      <c r="F540" s="124"/>
      <c r="G540" s="55"/>
    </row>
    <row r="541">
      <c r="A541" s="76"/>
      <c r="B541" s="74"/>
      <c r="C541" s="75"/>
      <c r="D541" s="75"/>
      <c r="E541" s="76"/>
      <c r="F541" s="122"/>
      <c r="G541" s="77"/>
    </row>
    <row r="542">
      <c r="A542" s="71"/>
      <c r="B542" s="71"/>
      <c r="C542" s="72"/>
      <c r="D542" s="72"/>
      <c r="E542" s="71"/>
      <c r="F542" s="123"/>
      <c r="G542" s="73"/>
    </row>
    <row r="543">
      <c r="A543" s="76"/>
      <c r="B543" s="76"/>
      <c r="C543" s="75"/>
      <c r="D543" s="75"/>
      <c r="E543" s="76"/>
      <c r="F543" s="122"/>
      <c r="G543" s="77"/>
    </row>
    <row r="544">
      <c r="A544" s="71"/>
      <c r="B544" s="71"/>
      <c r="C544" s="72"/>
      <c r="D544" s="72"/>
      <c r="E544" s="71"/>
      <c r="F544" s="123"/>
      <c r="G544" s="73"/>
    </row>
    <row r="545">
      <c r="A545" s="76"/>
      <c r="B545" s="76"/>
      <c r="C545" s="75"/>
      <c r="D545" s="75"/>
      <c r="E545" s="76"/>
      <c r="F545" s="122"/>
      <c r="G545" s="77"/>
    </row>
    <row r="546">
      <c r="A546" s="76"/>
      <c r="B546" s="76"/>
      <c r="C546" s="75"/>
      <c r="D546" s="75"/>
      <c r="E546" s="76"/>
      <c r="F546" s="122"/>
      <c r="G546" s="77"/>
    </row>
    <row r="547">
      <c r="A547" s="71"/>
      <c r="B547" s="71"/>
      <c r="C547" s="72"/>
      <c r="D547" s="72"/>
      <c r="E547" s="71"/>
      <c r="F547" s="123"/>
      <c r="G547" s="73"/>
    </row>
    <row r="548">
      <c r="A548" s="76"/>
      <c r="B548" s="76"/>
      <c r="C548" s="75"/>
      <c r="D548" s="75"/>
      <c r="E548" s="76"/>
      <c r="F548" s="122"/>
      <c r="G548" s="77"/>
    </row>
    <row r="549">
      <c r="A549" s="71"/>
      <c r="B549" s="71"/>
      <c r="C549" s="72"/>
      <c r="D549" s="72"/>
      <c r="E549" s="71"/>
      <c r="F549" s="123"/>
      <c r="G549" s="73"/>
    </row>
    <row r="550">
      <c r="A550" s="76"/>
      <c r="B550" s="76"/>
      <c r="C550" s="75"/>
      <c r="D550" s="75"/>
      <c r="E550" s="76"/>
      <c r="F550" s="122"/>
      <c r="G550" s="77"/>
    </row>
    <row r="551">
      <c r="A551" s="71"/>
      <c r="B551" s="71"/>
      <c r="C551" s="72"/>
      <c r="D551" s="72"/>
      <c r="E551" s="71"/>
      <c r="F551" s="123"/>
      <c r="G551" s="73"/>
    </row>
    <row r="552">
      <c r="A552" s="76"/>
      <c r="B552" s="76"/>
      <c r="C552" s="75"/>
      <c r="D552" s="75"/>
      <c r="E552" s="76"/>
      <c r="F552" s="122"/>
      <c r="G552" s="77"/>
    </row>
    <row r="553">
      <c r="A553" s="71"/>
      <c r="B553" s="71"/>
      <c r="C553" s="72"/>
      <c r="D553" s="72"/>
      <c r="E553" s="71"/>
      <c r="F553" s="123"/>
      <c r="G553" s="73"/>
    </row>
    <row r="554">
      <c r="A554" s="76"/>
      <c r="B554" s="76"/>
      <c r="C554" s="75"/>
      <c r="D554" s="75"/>
      <c r="E554" s="76"/>
      <c r="F554" s="122"/>
      <c r="G554" s="77"/>
    </row>
    <row r="555">
      <c r="A555" s="71"/>
      <c r="B555" s="71"/>
      <c r="C555" s="72"/>
      <c r="D555" s="72"/>
      <c r="E555" s="71"/>
      <c r="F555" s="123"/>
      <c r="G555" s="73"/>
    </row>
    <row r="556">
      <c r="A556" s="76"/>
      <c r="B556" s="76"/>
      <c r="C556" s="75"/>
      <c r="D556" s="75"/>
      <c r="E556" s="76"/>
      <c r="F556" s="122"/>
      <c r="G556" s="77"/>
    </row>
    <row r="557">
      <c r="A557" s="71"/>
      <c r="B557" s="71"/>
      <c r="C557" s="72"/>
      <c r="D557" s="72"/>
      <c r="E557" s="71"/>
      <c r="F557" s="123"/>
      <c r="G557" s="73"/>
    </row>
    <row r="558">
      <c r="A558" s="76"/>
      <c r="B558" s="76"/>
      <c r="C558" s="75"/>
      <c r="D558" s="75"/>
      <c r="E558" s="76"/>
      <c r="F558" s="122"/>
      <c r="G558" s="77"/>
    </row>
    <row r="559">
      <c r="A559" s="71"/>
      <c r="B559" s="71"/>
      <c r="C559" s="72"/>
      <c r="D559" s="72"/>
      <c r="E559" s="71"/>
      <c r="F559" s="123"/>
      <c r="G559" s="73"/>
    </row>
    <row r="560">
      <c r="A560" s="71"/>
      <c r="B560" s="78"/>
      <c r="C560" s="72"/>
      <c r="D560" s="72"/>
      <c r="E560" s="71"/>
      <c r="F560" s="123"/>
      <c r="G560" s="73"/>
    </row>
    <row r="561">
      <c r="A561" s="76"/>
      <c r="B561" s="76"/>
      <c r="C561" s="75"/>
      <c r="D561" s="75"/>
      <c r="E561" s="76"/>
      <c r="F561" s="122"/>
      <c r="G561" s="77"/>
    </row>
    <row r="562">
      <c r="A562" s="71"/>
      <c r="B562" s="71"/>
      <c r="C562" s="72"/>
      <c r="D562" s="72"/>
      <c r="E562" s="71"/>
      <c r="F562" s="123"/>
      <c r="G562" s="73"/>
    </row>
    <row r="563">
      <c r="A563" s="76"/>
      <c r="B563" s="76"/>
      <c r="C563" s="75"/>
      <c r="D563" s="75"/>
      <c r="E563" s="76"/>
      <c r="F563" s="122"/>
      <c r="G563" s="77"/>
    </row>
    <row r="564">
      <c r="A564" s="71"/>
      <c r="B564" s="78"/>
      <c r="C564" s="72"/>
      <c r="D564" s="72"/>
      <c r="E564" s="71"/>
      <c r="F564" s="123"/>
      <c r="G564" s="73"/>
    </row>
    <row r="565">
      <c r="A565" s="71"/>
      <c r="B565" s="78"/>
      <c r="C565" s="72"/>
      <c r="D565" s="72"/>
      <c r="E565" s="71"/>
      <c r="F565" s="123"/>
      <c r="G565" s="73"/>
    </row>
    <row r="566">
      <c r="A566" s="76"/>
      <c r="B566" s="76"/>
      <c r="C566" s="75"/>
      <c r="D566" s="76"/>
      <c r="E566" s="76"/>
      <c r="F566" s="122"/>
      <c r="G566" s="77"/>
    </row>
    <row r="567">
      <c r="A567" s="71"/>
      <c r="B567" s="71"/>
      <c r="C567" s="72"/>
      <c r="D567" s="76"/>
      <c r="E567" s="71"/>
      <c r="F567" s="123"/>
      <c r="G567" s="73"/>
    </row>
    <row r="568">
      <c r="A568" s="76"/>
      <c r="B568" s="76"/>
      <c r="C568" s="75"/>
      <c r="D568" s="76"/>
      <c r="E568" s="76"/>
      <c r="F568" s="122"/>
      <c r="G568" s="77"/>
    </row>
    <row r="569">
      <c r="A569" s="53"/>
      <c r="B569" s="53"/>
      <c r="C569" s="54"/>
      <c r="D569" s="54"/>
      <c r="E569" s="55"/>
      <c r="F569" s="63"/>
      <c r="G569" s="56"/>
    </row>
    <row r="570">
      <c r="A570" s="53"/>
      <c r="B570" s="53"/>
      <c r="C570" s="54"/>
      <c r="D570" s="54"/>
      <c r="E570" s="55"/>
      <c r="F570" s="63"/>
      <c r="G570" s="56"/>
    </row>
    <row r="571">
      <c r="A571" s="53"/>
      <c r="B571" s="53"/>
      <c r="C571" s="54"/>
      <c r="D571" s="54"/>
      <c r="E571" s="55"/>
      <c r="F571" s="63"/>
      <c r="G571" s="56"/>
    </row>
    <row r="572">
      <c r="A572" s="53"/>
      <c r="B572" s="53"/>
      <c r="C572" s="54"/>
      <c r="D572" s="54"/>
      <c r="E572" s="55"/>
      <c r="F572" s="63"/>
      <c r="G572" s="56"/>
    </row>
    <row r="573">
      <c r="A573" s="53"/>
      <c r="B573" s="53"/>
      <c r="C573" s="54"/>
      <c r="D573" s="54"/>
      <c r="E573" s="55"/>
      <c r="F573" s="63"/>
      <c r="G573" s="56"/>
    </row>
    <row r="574">
      <c r="A574" s="53"/>
      <c r="B574" s="53"/>
      <c r="C574" s="54"/>
      <c r="D574" s="54"/>
      <c r="E574" s="55"/>
      <c r="F574" s="63"/>
      <c r="G574" s="56"/>
    </row>
    <row r="575">
      <c r="A575" s="53"/>
      <c r="B575" s="53"/>
      <c r="C575" s="54"/>
      <c r="D575" s="54"/>
      <c r="E575" s="55"/>
      <c r="F575" s="63"/>
      <c r="G575" s="56"/>
    </row>
    <row r="576">
      <c r="A576" s="53"/>
      <c r="B576" s="53"/>
      <c r="C576" s="54"/>
      <c r="D576" s="54"/>
      <c r="E576" s="55"/>
      <c r="F576" s="63"/>
      <c r="G576" s="56"/>
    </row>
    <row r="577">
      <c r="A577" s="53"/>
      <c r="B577" s="53"/>
      <c r="C577" s="54"/>
      <c r="D577" s="54"/>
      <c r="E577" s="55"/>
      <c r="F577" s="63"/>
      <c r="G577" s="56"/>
    </row>
    <row r="578">
      <c r="A578" s="53"/>
      <c r="B578" s="53"/>
      <c r="C578" s="54"/>
      <c r="D578" s="54"/>
      <c r="E578" s="55"/>
      <c r="F578" s="63"/>
      <c r="G578" s="56"/>
    </row>
    <row r="579">
      <c r="A579" s="53"/>
      <c r="B579" s="53"/>
      <c r="C579" s="54"/>
      <c r="D579" s="62"/>
      <c r="E579" s="55"/>
      <c r="F579" s="63"/>
      <c r="G579" s="56"/>
    </row>
    <row r="580">
      <c r="A580" s="53"/>
      <c r="B580" s="53"/>
      <c r="C580" s="54"/>
      <c r="D580" s="62"/>
      <c r="E580" s="55"/>
      <c r="F580" s="63"/>
      <c r="G580" s="56"/>
    </row>
    <row r="581">
      <c r="A581" s="53"/>
      <c r="B581" s="53"/>
      <c r="C581" s="54"/>
      <c r="D581" s="62"/>
      <c r="E581" s="55"/>
      <c r="F581" s="63"/>
      <c r="G581" s="56"/>
    </row>
    <row r="582">
      <c r="A582" s="53"/>
      <c r="B582" s="53"/>
      <c r="C582" s="54"/>
      <c r="D582" s="62"/>
      <c r="E582" s="55"/>
      <c r="F582" s="63"/>
      <c r="G582" s="56"/>
    </row>
    <row r="583">
      <c r="A583" s="53"/>
      <c r="B583" s="53"/>
      <c r="C583" s="54"/>
      <c r="D583" s="62"/>
      <c r="E583" s="55"/>
      <c r="F583" s="63"/>
      <c r="G583" s="56"/>
    </row>
    <row r="584">
      <c r="A584" s="53"/>
      <c r="B584" s="53"/>
      <c r="C584" s="54"/>
      <c r="D584" s="62"/>
      <c r="E584" s="55"/>
      <c r="F584" s="63"/>
      <c r="G584" s="56"/>
    </row>
    <row r="585">
      <c r="A585" s="47"/>
      <c r="B585" s="97"/>
      <c r="C585" s="49"/>
      <c r="D585" s="49"/>
      <c r="E585" s="49"/>
      <c r="F585" s="98"/>
      <c r="G585" s="49"/>
    </row>
    <row r="586">
      <c r="A586" s="51"/>
      <c r="B586" s="51"/>
      <c r="C586" s="52"/>
      <c r="D586" s="52"/>
      <c r="E586" s="52"/>
      <c r="F586" s="52"/>
      <c r="G586" s="52"/>
    </row>
    <row r="587">
      <c r="A587" s="53"/>
      <c r="B587" s="53"/>
      <c r="C587" s="54"/>
      <c r="D587" s="54"/>
      <c r="E587" s="55"/>
      <c r="F587" s="124"/>
      <c r="G587" s="55"/>
    </row>
    <row r="588">
      <c r="A588" s="53"/>
      <c r="B588" s="53"/>
      <c r="C588" s="54"/>
      <c r="D588" s="54"/>
      <c r="E588" s="55"/>
      <c r="F588" s="124"/>
      <c r="G588" s="55"/>
    </row>
    <row r="589">
      <c r="A589" s="53"/>
      <c r="B589" s="53"/>
      <c r="C589" s="54"/>
      <c r="D589" s="54"/>
      <c r="E589" s="55"/>
      <c r="F589" s="124"/>
      <c r="G589" s="55"/>
    </row>
    <row r="590">
      <c r="A590" s="76"/>
      <c r="B590" s="74"/>
      <c r="C590" s="75"/>
      <c r="D590" s="75"/>
      <c r="E590" s="76"/>
      <c r="F590" s="122"/>
      <c r="G590" s="77"/>
    </row>
    <row r="591">
      <c r="A591" s="71"/>
      <c r="B591" s="71"/>
      <c r="C591" s="72"/>
      <c r="D591" s="72"/>
      <c r="E591" s="71"/>
      <c r="F591" s="123"/>
      <c r="G591" s="73"/>
    </row>
    <row r="592">
      <c r="A592" s="76"/>
      <c r="B592" s="76"/>
      <c r="C592" s="75"/>
      <c r="D592" s="75"/>
      <c r="E592" s="76"/>
      <c r="F592" s="122"/>
      <c r="G592" s="77"/>
    </row>
    <row r="593">
      <c r="A593" s="71"/>
      <c r="B593" s="71"/>
      <c r="C593" s="72"/>
      <c r="D593" s="72"/>
      <c r="E593" s="71"/>
      <c r="F593" s="123"/>
      <c r="G593" s="73"/>
    </row>
    <row r="594">
      <c r="A594" s="76"/>
      <c r="B594" s="76"/>
      <c r="C594" s="75"/>
      <c r="D594" s="75"/>
      <c r="E594" s="76"/>
      <c r="F594" s="122"/>
      <c r="G594" s="77"/>
    </row>
    <row r="595">
      <c r="A595" s="76"/>
      <c r="B595" s="76"/>
      <c r="C595" s="75"/>
      <c r="D595" s="75"/>
      <c r="E595" s="76"/>
      <c r="F595" s="122"/>
      <c r="G595" s="77"/>
    </row>
    <row r="596">
      <c r="A596" s="71"/>
      <c r="B596" s="71"/>
      <c r="C596" s="72"/>
      <c r="D596" s="72"/>
      <c r="E596" s="71"/>
      <c r="F596" s="123"/>
      <c r="G596" s="73"/>
    </row>
    <row r="597">
      <c r="A597" s="76"/>
      <c r="B597" s="76"/>
      <c r="C597" s="75"/>
      <c r="D597" s="75"/>
      <c r="E597" s="76"/>
      <c r="F597" s="122"/>
      <c r="G597" s="77"/>
    </row>
    <row r="598">
      <c r="A598" s="71"/>
      <c r="B598" s="71"/>
      <c r="C598" s="72"/>
      <c r="D598" s="72"/>
      <c r="E598" s="71"/>
      <c r="F598" s="123"/>
      <c r="G598" s="73"/>
    </row>
    <row r="599">
      <c r="A599" s="76"/>
      <c r="B599" s="76"/>
      <c r="C599" s="75"/>
      <c r="D599" s="75"/>
      <c r="E599" s="76"/>
      <c r="F599" s="122"/>
      <c r="G599" s="77"/>
    </row>
    <row r="600">
      <c r="A600" s="71"/>
      <c r="B600" s="71"/>
      <c r="C600" s="72"/>
      <c r="D600" s="72"/>
      <c r="E600" s="71"/>
      <c r="F600" s="123"/>
      <c r="G600" s="73"/>
    </row>
    <row r="601">
      <c r="A601" s="76"/>
      <c r="B601" s="76"/>
      <c r="C601" s="75"/>
      <c r="D601" s="75"/>
      <c r="E601" s="76"/>
      <c r="F601" s="122"/>
      <c r="G601" s="77"/>
    </row>
    <row r="602">
      <c r="A602" s="71"/>
      <c r="B602" s="71"/>
      <c r="C602" s="72"/>
      <c r="D602" s="72"/>
      <c r="E602" s="71"/>
      <c r="F602" s="123"/>
      <c r="G602" s="73"/>
    </row>
    <row r="603">
      <c r="A603" s="76"/>
      <c r="B603" s="76"/>
      <c r="C603" s="75"/>
      <c r="D603" s="75"/>
      <c r="E603" s="76"/>
      <c r="F603" s="122"/>
      <c r="G603" s="77"/>
    </row>
    <row r="604">
      <c r="A604" s="71"/>
      <c r="B604" s="71"/>
      <c r="C604" s="72"/>
      <c r="D604" s="72"/>
      <c r="E604" s="71"/>
      <c r="F604" s="123"/>
      <c r="G604" s="73"/>
    </row>
    <row r="605">
      <c r="A605" s="76"/>
      <c r="B605" s="76"/>
      <c r="C605" s="75"/>
      <c r="D605" s="75"/>
      <c r="E605" s="76"/>
      <c r="F605" s="122"/>
      <c r="G605" s="77"/>
    </row>
    <row r="606">
      <c r="A606" s="71"/>
      <c r="B606" s="71"/>
      <c r="C606" s="72"/>
      <c r="D606" s="72"/>
      <c r="E606" s="71"/>
      <c r="F606" s="123"/>
      <c r="G606" s="73"/>
    </row>
    <row r="607">
      <c r="A607" s="76"/>
      <c r="B607" s="76"/>
      <c r="C607" s="75"/>
      <c r="D607" s="75"/>
      <c r="E607" s="76"/>
      <c r="F607" s="122"/>
      <c r="G607" s="77"/>
    </row>
    <row r="608">
      <c r="A608" s="71"/>
      <c r="B608" s="71"/>
      <c r="C608" s="72"/>
      <c r="D608" s="72"/>
      <c r="E608" s="71"/>
      <c r="F608" s="123"/>
      <c r="G608" s="73"/>
    </row>
    <row r="609">
      <c r="A609" s="71"/>
      <c r="B609" s="78"/>
      <c r="C609" s="72"/>
      <c r="D609" s="72"/>
      <c r="E609" s="71"/>
      <c r="F609" s="123"/>
      <c r="G609" s="73"/>
    </row>
    <row r="610">
      <c r="A610" s="76"/>
      <c r="B610" s="76"/>
      <c r="C610" s="75"/>
      <c r="D610" s="75"/>
      <c r="E610" s="76"/>
      <c r="F610" s="122"/>
      <c r="G610" s="77"/>
    </row>
    <row r="611">
      <c r="A611" s="71"/>
      <c r="B611" s="71"/>
      <c r="C611" s="72"/>
      <c r="D611" s="72"/>
      <c r="E611" s="71"/>
      <c r="F611" s="123"/>
      <c r="G611" s="73"/>
    </row>
    <row r="612">
      <c r="A612" s="76"/>
      <c r="B612" s="76"/>
      <c r="C612" s="75"/>
      <c r="D612" s="75"/>
      <c r="E612" s="76"/>
      <c r="F612" s="122"/>
      <c r="G612" s="77"/>
    </row>
    <row r="613">
      <c r="A613" s="71"/>
      <c r="B613" s="78"/>
      <c r="C613" s="72"/>
      <c r="D613" s="72"/>
      <c r="E613" s="71"/>
      <c r="F613" s="123"/>
      <c r="G613" s="73"/>
    </row>
    <row r="614">
      <c r="A614" s="71"/>
      <c r="B614" s="78"/>
      <c r="C614" s="72"/>
      <c r="D614" s="72"/>
      <c r="E614" s="71"/>
      <c r="F614" s="123"/>
      <c r="G614" s="73"/>
    </row>
    <row r="615">
      <c r="A615" s="76"/>
      <c r="B615" s="76"/>
      <c r="C615" s="75"/>
      <c r="D615" s="76"/>
      <c r="E615" s="76"/>
      <c r="F615" s="122"/>
      <c r="G615" s="77"/>
    </row>
    <row r="616">
      <c r="A616" s="71"/>
      <c r="B616" s="71"/>
      <c r="C616" s="72"/>
      <c r="D616" s="76"/>
      <c r="E616" s="71"/>
      <c r="F616" s="123"/>
      <c r="G616" s="73"/>
    </row>
    <row r="617">
      <c r="A617" s="76"/>
      <c r="B617" s="76"/>
      <c r="C617" s="75"/>
      <c r="D617" s="76"/>
      <c r="E617" s="76"/>
      <c r="F617" s="122"/>
      <c r="G617" s="77"/>
    </row>
    <row r="618">
      <c r="A618" s="53"/>
      <c r="B618" s="53"/>
      <c r="C618" s="54"/>
      <c r="D618" s="54"/>
      <c r="E618" s="55"/>
      <c r="F618" s="63"/>
      <c r="G618" s="56"/>
    </row>
    <row r="619">
      <c r="A619" s="53"/>
      <c r="B619" s="53"/>
      <c r="C619" s="54"/>
      <c r="D619" s="54"/>
      <c r="E619" s="55"/>
      <c r="F619" s="63"/>
      <c r="G619" s="56"/>
    </row>
    <row r="620">
      <c r="A620" s="53"/>
      <c r="B620" s="53"/>
      <c r="C620" s="54"/>
      <c r="D620" s="54"/>
      <c r="E620" s="55"/>
      <c r="F620" s="63"/>
      <c r="G620" s="56"/>
    </row>
    <row r="621">
      <c r="A621" s="53"/>
      <c r="B621" s="53"/>
      <c r="C621" s="54"/>
      <c r="D621" s="54"/>
      <c r="E621" s="55"/>
      <c r="F621" s="63"/>
      <c r="G621" s="56"/>
    </row>
    <row r="622">
      <c r="A622" s="53"/>
      <c r="B622" s="53"/>
      <c r="C622" s="54"/>
      <c r="D622" s="54"/>
      <c r="E622" s="55"/>
      <c r="F622" s="63"/>
      <c r="G622" s="56"/>
    </row>
    <row r="623">
      <c r="A623" s="53"/>
      <c r="B623" s="53"/>
      <c r="C623" s="54"/>
      <c r="D623" s="54"/>
      <c r="E623" s="55"/>
      <c r="F623" s="63"/>
      <c r="G623" s="56"/>
    </row>
    <row r="624">
      <c r="A624" s="53"/>
      <c r="B624" s="53"/>
      <c r="C624" s="54"/>
      <c r="D624" s="54"/>
      <c r="E624" s="55"/>
      <c r="F624" s="63"/>
      <c r="G624" s="56"/>
    </row>
    <row r="625">
      <c r="A625" s="53"/>
      <c r="B625" s="53"/>
      <c r="C625" s="54"/>
      <c r="D625" s="54"/>
      <c r="E625" s="55"/>
      <c r="F625" s="63"/>
      <c r="G625" s="56"/>
    </row>
    <row r="626">
      <c r="A626" s="53"/>
      <c r="B626" s="53"/>
      <c r="C626" s="54"/>
      <c r="D626" s="54"/>
      <c r="E626" s="55"/>
      <c r="F626" s="63"/>
      <c r="G626" s="56"/>
    </row>
    <row r="627">
      <c r="A627" s="53"/>
      <c r="B627" s="53"/>
      <c r="C627" s="54"/>
      <c r="D627" s="54"/>
      <c r="E627" s="55"/>
      <c r="F627" s="63"/>
      <c r="G627" s="56"/>
    </row>
    <row r="628">
      <c r="A628" s="53"/>
      <c r="B628" s="53"/>
      <c r="C628" s="54"/>
      <c r="D628" s="62"/>
      <c r="E628" s="55"/>
      <c r="F628" s="63"/>
      <c r="G628" s="56"/>
    </row>
    <row r="629">
      <c r="A629" s="53"/>
      <c r="B629" s="53"/>
      <c r="C629" s="54"/>
      <c r="D629" s="62"/>
      <c r="E629" s="55"/>
      <c r="F629" s="63"/>
      <c r="G629" s="56"/>
    </row>
    <row r="630">
      <c r="A630" s="53"/>
      <c r="B630" s="53"/>
      <c r="C630" s="54"/>
      <c r="D630" s="62"/>
      <c r="E630" s="55"/>
      <c r="F630" s="63"/>
      <c r="G630" s="56"/>
    </row>
    <row r="631">
      <c r="A631" s="53"/>
      <c r="B631" s="53"/>
      <c r="C631" s="54"/>
      <c r="D631" s="62"/>
      <c r="E631" s="55"/>
      <c r="F631" s="63"/>
      <c r="G631" s="56"/>
    </row>
    <row r="632">
      <c r="A632" s="53"/>
      <c r="B632" s="53"/>
      <c r="C632" s="54"/>
      <c r="D632" s="62"/>
      <c r="E632" s="55"/>
      <c r="F632" s="63"/>
      <c r="G632" s="56"/>
    </row>
    <row r="633">
      <c r="A633" s="53"/>
      <c r="B633" s="53"/>
      <c r="C633" s="54"/>
      <c r="D633" s="62"/>
      <c r="E633" s="55"/>
      <c r="F633" s="63"/>
      <c r="G633" s="56"/>
    </row>
    <row r="634">
      <c r="A634" s="47"/>
      <c r="B634" s="97"/>
      <c r="C634" s="49"/>
      <c r="D634" s="49"/>
      <c r="E634" s="49"/>
      <c r="F634" s="98"/>
      <c r="G634" s="49"/>
    </row>
    <row r="635">
      <c r="A635" s="51"/>
      <c r="B635" s="51"/>
      <c r="C635" s="52"/>
      <c r="D635" s="52"/>
      <c r="E635" s="52"/>
      <c r="F635" s="52"/>
      <c r="G635" s="52"/>
    </row>
    <row r="636">
      <c r="A636" s="53"/>
      <c r="B636" s="53"/>
      <c r="C636" s="54"/>
      <c r="D636" s="54"/>
      <c r="E636" s="55"/>
      <c r="F636" s="124"/>
      <c r="G636" s="55"/>
    </row>
    <row r="637">
      <c r="A637" s="53"/>
      <c r="B637" s="53"/>
      <c r="C637" s="54"/>
      <c r="D637" s="54"/>
      <c r="E637" s="55"/>
      <c r="F637" s="124"/>
      <c r="G637" s="55"/>
    </row>
    <row r="638">
      <c r="A638" s="53"/>
      <c r="B638" s="53"/>
      <c r="C638" s="54"/>
      <c r="D638" s="54"/>
      <c r="E638" s="55"/>
      <c r="F638" s="124"/>
      <c r="G638" s="55"/>
    </row>
    <row r="639">
      <c r="A639" s="76"/>
      <c r="B639" s="74"/>
      <c r="C639" s="75"/>
      <c r="D639" s="75"/>
      <c r="E639" s="76"/>
      <c r="F639" s="122"/>
      <c r="G639" s="77"/>
    </row>
    <row r="640">
      <c r="A640" s="71"/>
      <c r="B640" s="71"/>
      <c r="C640" s="72"/>
      <c r="D640" s="72"/>
      <c r="E640" s="71"/>
      <c r="F640" s="123"/>
      <c r="G640" s="73"/>
    </row>
    <row r="641">
      <c r="A641" s="76"/>
      <c r="B641" s="76"/>
      <c r="C641" s="75"/>
      <c r="D641" s="75"/>
      <c r="E641" s="76"/>
      <c r="F641" s="122"/>
      <c r="G641" s="77"/>
    </row>
    <row r="642">
      <c r="A642" s="71"/>
      <c r="B642" s="71"/>
      <c r="C642" s="72"/>
      <c r="D642" s="72"/>
      <c r="E642" s="71"/>
      <c r="F642" s="123"/>
      <c r="G642" s="73"/>
    </row>
    <row r="643">
      <c r="A643" s="76"/>
      <c r="B643" s="76"/>
      <c r="C643" s="75"/>
      <c r="D643" s="75"/>
      <c r="E643" s="76"/>
      <c r="F643" s="122"/>
      <c r="G643" s="77"/>
    </row>
    <row r="644">
      <c r="A644" s="76"/>
      <c r="B644" s="76"/>
      <c r="C644" s="75"/>
      <c r="D644" s="75"/>
      <c r="E644" s="76"/>
      <c r="F644" s="122"/>
      <c r="G644" s="77"/>
    </row>
    <row r="645">
      <c r="A645" s="71"/>
      <c r="B645" s="71"/>
      <c r="C645" s="72"/>
      <c r="D645" s="72"/>
      <c r="E645" s="71"/>
      <c r="F645" s="123"/>
      <c r="G645" s="73"/>
    </row>
    <row r="646">
      <c r="A646" s="76"/>
      <c r="B646" s="76"/>
      <c r="C646" s="75"/>
      <c r="D646" s="75"/>
      <c r="E646" s="76"/>
      <c r="F646" s="122"/>
      <c r="G646" s="77"/>
    </row>
    <row r="647">
      <c r="A647" s="71"/>
      <c r="B647" s="71"/>
      <c r="C647" s="72"/>
      <c r="D647" s="72"/>
      <c r="E647" s="71"/>
      <c r="F647" s="123"/>
      <c r="G647" s="73"/>
    </row>
    <row r="648">
      <c r="A648" s="76"/>
      <c r="B648" s="76"/>
      <c r="C648" s="75"/>
      <c r="D648" s="75"/>
      <c r="E648" s="76"/>
      <c r="F648" s="122"/>
      <c r="G648" s="77"/>
    </row>
    <row r="649">
      <c r="A649" s="71"/>
      <c r="B649" s="71"/>
      <c r="C649" s="72"/>
      <c r="D649" s="72"/>
      <c r="E649" s="71"/>
      <c r="F649" s="123"/>
      <c r="G649" s="73"/>
    </row>
    <row r="650">
      <c r="A650" s="76"/>
      <c r="B650" s="76"/>
      <c r="C650" s="75"/>
      <c r="D650" s="75"/>
      <c r="E650" s="76"/>
      <c r="F650" s="122"/>
      <c r="G650" s="77"/>
    </row>
    <row r="651">
      <c r="A651" s="71"/>
      <c r="B651" s="71"/>
      <c r="C651" s="72"/>
      <c r="D651" s="72"/>
      <c r="E651" s="71"/>
      <c r="F651" s="123"/>
      <c r="G651" s="73"/>
    </row>
    <row r="652">
      <c r="A652" s="76"/>
      <c r="B652" s="76"/>
      <c r="C652" s="75"/>
      <c r="D652" s="75"/>
      <c r="E652" s="76"/>
      <c r="F652" s="122"/>
      <c r="G652" s="77"/>
    </row>
    <row r="653">
      <c r="A653" s="71"/>
      <c r="B653" s="71"/>
      <c r="C653" s="72"/>
      <c r="D653" s="72"/>
      <c r="E653" s="71"/>
      <c r="F653" s="123"/>
      <c r="G653" s="73"/>
    </row>
    <row r="654">
      <c r="A654" s="76"/>
      <c r="B654" s="76"/>
      <c r="C654" s="75"/>
      <c r="D654" s="75"/>
      <c r="E654" s="76"/>
      <c r="F654" s="122"/>
      <c r="G654" s="77"/>
    </row>
    <row r="655">
      <c r="A655" s="71"/>
      <c r="B655" s="71"/>
      <c r="C655" s="72"/>
      <c r="D655" s="72"/>
      <c r="E655" s="71"/>
      <c r="F655" s="123"/>
      <c r="G655" s="73"/>
    </row>
    <row r="656">
      <c r="A656" s="76"/>
      <c r="B656" s="76"/>
      <c r="C656" s="75"/>
      <c r="D656" s="75"/>
      <c r="E656" s="76"/>
      <c r="F656" s="122"/>
      <c r="G656" s="77"/>
    </row>
    <row r="657">
      <c r="A657" s="71"/>
      <c r="B657" s="71"/>
      <c r="C657" s="72"/>
      <c r="D657" s="72"/>
      <c r="E657" s="71"/>
      <c r="F657" s="123"/>
      <c r="G657" s="73"/>
    </row>
    <row r="658">
      <c r="A658" s="71"/>
      <c r="B658" s="78"/>
      <c r="C658" s="72"/>
      <c r="D658" s="72"/>
      <c r="E658" s="71"/>
      <c r="F658" s="123"/>
      <c r="G658" s="73"/>
    </row>
    <row r="659">
      <c r="A659" s="76"/>
      <c r="B659" s="76"/>
      <c r="C659" s="75"/>
      <c r="D659" s="75"/>
      <c r="E659" s="76"/>
      <c r="F659" s="122"/>
      <c r="G659" s="77"/>
    </row>
    <row r="660">
      <c r="A660" s="71"/>
      <c r="B660" s="71"/>
      <c r="C660" s="72"/>
      <c r="D660" s="72"/>
      <c r="E660" s="71"/>
      <c r="F660" s="123"/>
      <c r="G660" s="73"/>
    </row>
    <row r="661">
      <c r="A661" s="76"/>
      <c r="B661" s="76"/>
      <c r="C661" s="75"/>
      <c r="D661" s="75"/>
      <c r="E661" s="76"/>
      <c r="F661" s="122"/>
      <c r="G661" s="77"/>
    </row>
    <row r="662">
      <c r="A662" s="71"/>
      <c r="B662" s="78"/>
      <c r="C662" s="72"/>
      <c r="D662" s="72"/>
      <c r="E662" s="71"/>
      <c r="F662" s="123"/>
      <c r="G662" s="73"/>
    </row>
    <row r="663">
      <c r="A663" s="71"/>
      <c r="B663" s="78"/>
      <c r="C663" s="72"/>
      <c r="D663" s="72"/>
      <c r="E663" s="71"/>
      <c r="F663" s="123"/>
      <c r="G663" s="73"/>
    </row>
    <row r="664">
      <c r="A664" s="76"/>
      <c r="B664" s="76"/>
      <c r="C664" s="75"/>
      <c r="D664" s="76"/>
      <c r="E664" s="76"/>
      <c r="F664" s="122"/>
      <c r="G664" s="77"/>
    </row>
    <row r="665">
      <c r="A665" s="71"/>
      <c r="B665" s="71"/>
      <c r="C665" s="72"/>
      <c r="D665" s="76"/>
      <c r="E665" s="71"/>
      <c r="F665" s="123"/>
      <c r="G665" s="73"/>
    </row>
    <row r="666">
      <c r="A666" s="76"/>
      <c r="B666" s="76"/>
      <c r="C666" s="75"/>
      <c r="D666" s="76"/>
      <c r="E666" s="76"/>
      <c r="F666" s="122"/>
      <c r="G666" s="77"/>
    </row>
    <row r="667">
      <c r="A667" s="53"/>
      <c r="B667" s="53"/>
      <c r="C667" s="54"/>
      <c r="D667" s="54"/>
      <c r="E667" s="55"/>
      <c r="F667" s="63"/>
      <c r="G667" s="56"/>
    </row>
    <row r="668">
      <c r="A668" s="53"/>
      <c r="B668" s="53"/>
      <c r="C668" s="54"/>
      <c r="D668" s="54"/>
      <c r="E668" s="55"/>
      <c r="F668" s="63"/>
      <c r="G668" s="56"/>
    </row>
    <row r="669">
      <c r="A669" s="53"/>
      <c r="B669" s="53"/>
      <c r="C669" s="54"/>
      <c r="D669" s="54"/>
      <c r="E669" s="55"/>
      <c r="F669" s="63"/>
      <c r="G669" s="56"/>
    </row>
    <row r="670">
      <c r="A670" s="53"/>
      <c r="B670" s="53"/>
      <c r="C670" s="54"/>
      <c r="D670" s="54"/>
      <c r="E670" s="55"/>
      <c r="F670" s="63"/>
      <c r="G670" s="56"/>
    </row>
    <row r="671">
      <c r="A671" s="53"/>
      <c r="B671" s="53"/>
      <c r="C671" s="54"/>
      <c r="D671" s="54"/>
      <c r="E671" s="55"/>
      <c r="F671" s="63"/>
      <c r="G671" s="56"/>
    </row>
    <row r="672">
      <c r="A672" s="53"/>
      <c r="B672" s="53"/>
      <c r="C672" s="54"/>
      <c r="D672" s="54"/>
      <c r="E672" s="55"/>
      <c r="F672" s="63"/>
      <c r="G672" s="56"/>
    </row>
    <row r="673">
      <c r="A673" s="53"/>
      <c r="B673" s="53"/>
      <c r="C673" s="54"/>
      <c r="D673" s="54"/>
      <c r="E673" s="55"/>
      <c r="F673" s="63"/>
      <c r="G673" s="56"/>
    </row>
    <row r="674">
      <c r="A674" s="53"/>
      <c r="B674" s="53"/>
      <c r="C674" s="54"/>
      <c r="D674" s="54"/>
      <c r="E674" s="55"/>
      <c r="F674" s="63"/>
      <c r="G674" s="56"/>
    </row>
    <row r="675">
      <c r="A675" s="53"/>
      <c r="B675" s="53"/>
      <c r="C675" s="54"/>
      <c r="D675" s="54"/>
      <c r="E675" s="55"/>
      <c r="F675" s="63"/>
      <c r="G675" s="56"/>
    </row>
    <row r="676">
      <c r="A676" s="53"/>
      <c r="B676" s="53"/>
      <c r="C676" s="54"/>
      <c r="D676" s="54"/>
      <c r="E676" s="55"/>
      <c r="F676" s="63"/>
      <c r="G676" s="56"/>
    </row>
    <row r="677">
      <c r="A677" s="53"/>
      <c r="B677" s="53"/>
      <c r="C677" s="54"/>
      <c r="D677" s="62"/>
      <c r="E677" s="55"/>
      <c r="F677" s="63"/>
      <c r="G677" s="56"/>
    </row>
    <row r="678">
      <c r="A678" s="53"/>
      <c r="B678" s="53"/>
      <c r="C678" s="54"/>
      <c r="D678" s="62"/>
      <c r="E678" s="55"/>
      <c r="F678" s="63"/>
      <c r="G678" s="56"/>
    </row>
    <row r="679">
      <c r="A679" s="53"/>
      <c r="B679" s="53"/>
      <c r="C679" s="54"/>
      <c r="D679" s="62"/>
      <c r="E679" s="55"/>
      <c r="F679" s="63"/>
      <c r="G679" s="56"/>
    </row>
    <row r="680">
      <c r="A680" s="53"/>
      <c r="B680" s="53"/>
      <c r="C680" s="54"/>
      <c r="D680" s="62"/>
      <c r="E680" s="55"/>
      <c r="F680" s="63"/>
      <c r="G680" s="56"/>
    </row>
    <row r="681">
      <c r="A681" s="53"/>
      <c r="B681" s="53"/>
      <c r="C681" s="54"/>
      <c r="D681" s="62"/>
      <c r="E681" s="55"/>
      <c r="F681" s="63"/>
      <c r="G681" s="56"/>
    </row>
    <row r="682">
      <c r="A682" s="53"/>
      <c r="B682" s="53"/>
      <c r="C682" s="54"/>
      <c r="D682" s="62"/>
      <c r="E682" s="55"/>
      <c r="F682" s="63"/>
      <c r="G682" s="56"/>
    </row>
    <row r="683">
      <c r="A683" s="47"/>
      <c r="B683" s="97"/>
      <c r="C683" s="49"/>
      <c r="D683" s="49"/>
      <c r="E683" s="49"/>
      <c r="F683" s="98"/>
      <c r="G683" s="49"/>
    </row>
    <row r="684">
      <c r="A684" s="51"/>
      <c r="B684" s="51"/>
      <c r="C684" s="52"/>
      <c r="D684" s="52"/>
      <c r="E684" s="52"/>
      <c r="F684" s="52"/>
      <c r="G684" s="52"/>
    </row>
    <row r="685">
      <c r="A685" s="53"/>
      <c r="B685" s="53"/>
      <c r="C685" s="54"/>
      <c r="D685" s="54"/>
      <c r="E685" s="55"/>
      <c r="F685" s="124"/>
      <c r="G685" s="55"/>
    </row>
    <row r="686">
      <c r="A686" s="53"/>
      <c r="B686" s="53"/>
      <c r="C686" s="54"/>
      <c r="D686" s="54"/>
      <c r="E686" s="55"/>
      <c r="F686" s="124"/>
      <c r="G686" s="55"/>
    </row>
    <row r="687">
      <c r="A687" s="53"/>
      <c r="B687" s="53"/>
      <c r="C687" s="54"/>
      <c r="D687" s="54"/>
      <c r="E687" s="55"/>
      <c r="F687" s="124"/>
      <c r="G687" s="55"/>
    </row>
    <row r="688">
      <c r="A688" s="76"/>
      <c r="B688" s="74"/>
      <c r="C688" s="75"/>
      <c r="D688" s="75"/>
      <c r="E688" s="76"/>
      <c r="F688" s="122"/>
      <c r="G688" s="77"/>
    </row>
    <row r="689">
      <c r="A689" s="71"/>
      <c r="B689" s="71"/>
      <c r="C689" s="72"/>
      <c r="D689" s="72"/>
      <c r="E689" s="71"/>
      <c r="F689" s="123"/>
      <c r="G689" s="73"/>
    </row>
    <row r="690">
      <c r="A690" s="76"/>
      <c r="B690" s="76"/>
      <c r="C690" s="75"/>
      <c r="D690" s="75"/>
      <c r="E690" s="76"/>
      <c r="F690" s="122"/>
      <c r="G690" s="77"/>
    </row>
    <row r="691">
      <c r="A691" s="71"/>
      <c r="B691" s="71"/>
      <c r="C691" s="72"/>
      <c r="D691" s="72"/>
      <c r="E691" s="71"/>
      <c r="F691" s="123"/>
      <c r="G691" s="73"/>
    </row>
    <row r="692">
      <c r="A692" s="76"/>
      <c r="B692" s="76"/>
      <c r="C692" s="75"/>
      <c r="D692" s="75"/>
      <c r="E692" s="76"/>
      <c r="F692" s="122"/>
      <c r="G692" s="77"/>
    </row>
    <row r="693">
      <c r="A693" s="76"/>
      <c r="B693" s="76"/>
      <c r="C693" s="75"/>
      <c r="D693" s="75"/>
      <c r="E693" s="76"/>
      <c r="F693" s="122"/>
      <c r="G693" s="77"/>
    </row>
    <row r="694">
      <c r="A694" s="71"/>
      <c r="B694" s="71"/>
      <c r="C694" s="72"/>
      <c r="D694" s="72"/>
      <c r="E694" s="71"/>
      <c r="F694" s="123"/>
      <c r="G694" s="73"/>
    </row>
    <row r="695">
      <c r="A695" s="76"/>
      <c r="B695" s="76"/>
      <c r="C695" s="75"/>
      <c r="D695" s="75"/>
      <c r="E695" s="76"/>
      <c r="F695" s="122"/>
      <c r="G695" s="77"/>
    </row>
    <row r="696">
      <c r="A696" s="71"/>
      <c r="B696" s="71"/>
      <c r="C696" s="72"/>
      <c r="D696" s="72"/>
      <c r="E696" s="71"/>
      <c r="F696" s="123"/>
      <c r="G696" s="73"/>
    </row>
    <row r="697">
      <c r="A697" s="76"/>
      <c r="B697" s="76"/>
      <c r="C697" s="75"/>
      <c r="D697" s="75"/>
      <c r="E697" s="76"/>
      <c r="F697" s="122"/>
      <c r="G697" s="77"/>
    </row>
    <row r="698">
      <c r="A698" s="71"/>
      <c r="B698" s="71"/>
      <c r="C698" s="72"/>
      <c r="D698" s="72"/>
      <c r="E698" s="71"/>
      <c r="F698" s="123"/>
      <c r="G698" s="73"/>
    </row>
    <row r="699">
      <c r="A699" s="76"/>
      <c r="B699" s="76"/>
      <c r="C699" s="75"/>
      <c r="D699" s="75"/>
      <c r="E699" s="76"/>
      <c r="F699" s="122"/>
      <c r="G699" s="77"/>
    </row>
    <row r="700">
      <c r="A700" s="71"/>
      <c r="B700" s="71"/>
      <c r="C700" s="72"/>
      <c r="D700" s="72"/>
      <c r="E700" s="71"/>
      <c r="F700" s="123"/>
      <c r="G700" s="73"/>
    </row>
    <row r="701">
      <c r="A701" s="76"/>
      <c r="B701" s="76"/>
      <c r="C701" s="75"/>
      <c r="D701" s="75"/>
      <c r="E701" s="76"/>
      <c r="F701" s="122"/>
      <c r="G701" s="77"/>
    </row>
    <row r="702">
      <c r="A702" s="71"/>
      <c r="B702" s="71"/>
      <c r="C702" s="72"/>
      <c r="D702" s="72"/>
      <c r="E702" s="71"/>
      <c r="F702" s="123"/>
      <c r="G702" s="73"/>
    </row>
    <row r="703">
      <c r="A703" s="76"/>
      <c r="B703" s="76"/>
      <c r="C703" s="75"/>
      <c r="D703" s="75"/>
      <c r="E703" s="76"/>
      <c r="F703" s="122"/>
      <c r="G703" s="77"/>
    </row>
    <row r="704">
      <c r="A704" s="71"/>
      <c r="B704" s="71"/>
      <c r="C704" s="72"/>
      <c r="D704" s="72"/>
      <c r="E704" s="71"/>
      <c r="F704" s="123"/>
      <c r="G704" s="73"/>
    </row>
    <row r="705">
      <c r="A705" s="76"/>
      <c r="B705" s="76"/>
      <c r="C705" s="75"/>
      <c r="D705" s="75"/>
      <c r="E705" s="76"/>
      <c r="F705" s="122"/>
      <c r="G705" s="77"/>
    </row>
    <row r="706">
      <c r="A706" s="71"/>
      <c r="B706" s="71"/>
      <c r="C706" s="72"/>
      <c r="D706" s="72"/>
      <c r="E706" s="71"/>
      <c r="F706" s="123"/>
      <c r="G706" s="73"/>
    </row>
    <row r="707">
      <c r="A707" s="71"/>
      <c r="B707" s="78"/>
      <c r="C707" s="72"/>
      <c r="D707" s="72"/>
      <c r="E707" s="71"/>
      <c r="F707" s="123"/>
      <c r="G707" s="73"/>
    </row>
    <row r="708">
      <c r="A708" s="76"/>
      <c r="B708" s="76"/>
      <c r="C708" s="75"/>
      <c r="D708" s="75"/>
      <c r="E708" s="76"/>
      <c r="F708" s="122"/>
      <c r="G708" s="77"/>
    </row>
    <row r="709">
      <c r="A709" s="71"/>
      <c r="B709" s="71"/>
      <c r="C709" s="72"/>
      <c r="D709" s="72"/>
      <c r="E709" s="71"/>
      <c r="F709" s="123"/>
      <c r="G709" s="73"/>
    </row>
    <row r="710">
      <c r="A710" s="76"/>
      <c r="B710" s="76"/>
      <c r="C710" s="75"/>
      <c r="D710" s="75"/>
      <c r="E710" s="76"/>
      <c r="F710" s="122"/>
      <c r="G710" s="77"/>
    </row>
    <row r="711">
      <c r="A711" s="71"/>
      <c r="B711" s="78"/>
      <c r="C711" s="72"/>
      <c r="D711" s="72"/>
      <c r="E711" s="71"/>
      <c r="F711" s="123"/>
      <c r="G711" s="73"/>
    </row>
    <row r="712">
      <c r="A712" s="71"/>
      <c r="B712" s="78"/>
      <c r="C712" s="72"/>
      <c r="D712" s="72"/>
      <c r="E712" s="71"/>
      <c r="F712" s="123"/>
      <c r="G712" s="73"/>
    </row>
    <row r="713">
      <c r="A713" s="76"/>
      <c r="B713" s="76"/>
      <c r="C713" s="75"/>
      <c r="D713" s="76"/>
      <c r="E713" s="76"/>
      <c r="F713" s="122"/>
      <c r="G713" s="77"/>
    </row>
    <row r="714">
      <c r="A714" s="71"/>
      <c r="B714" s="71"/>
      <c r="C714" s="72"/>
      <c r="D714" s="76"/>
      <c r="E714" s="71"/>
      <c r="F714" s="123"/>
      <c r="G714" s="73"/>
    </row>
    <row r="715">
      <c r="A715" s="76"/>
      <c r="B715" s="76"/>
      <c r="C715" s="75"/>
      <c r="D715" s="76"/>
      <c r="E715" s="76"/>
      <c r="F715" s="122"/>
      <c r="G715" s="77"/>
    </row>
    <row r="716">
      <c r="A716" s="53"/>
      <c r="B716" s="53"/>
      <c r="C716" s="54"/>
      <c r="D716" s="54"/>
      <c r="E716" s="55"/>
      <c r="F716" s="63"/>
      <c r="G716" s="56"/>
    </row>
    <row r="717">
      <c r="A717" s="53"/>
      <c r="B717" s="53"/>
      <c r="C717" s="54"/>
      <c r="D717" s="54"/>
      <c r="E717" s="55"/>
      <c r="F717" s="63"/>
      <c r="G717" s="56"/>
    </row>
    <row r="718">
      <c r="A718" s="53"/>
      <c r="B718" s="53"/>
      <c r="C718" s="54"/>
      <c r="D718" s="54"/>
      <c r="E718" s="55"/>
      <c r="F718" s="63"/>
      <c r="G718" s="56"/>
    </row>
    <row r="719">
      <c r="A719" s="53"/>
      <c r="B719" s="53"/>
      <c r="C719" s="54"/>
      <c r="D719" s="54"/>
      <c r="E719" s="55"/>
      <c r="F719" s="63"/>
      <c r="G719" s="56"/>
    </row>
    <row r="720">
      <c r="A720" s="53"/>
      <c r="B720" s="53"/>
      <c r="C720" s="54"/>
      <c r="D720" s="54"/>
      <c r="E720" s="55"/>
      <c r="F720" s="63"/>
      <c r="G720" s="56"/>
    </row>
    <row r="721">
      <c r="A721" s="53"/>
      <c r="B721" s="53"/>
      <c r="C721" s="54"/>
      <c r="D721" s="54"/>
      <c r="E721" s="55"/>
      <c r="F721" s="63"/>
      <c r="G721" s="56"/>
    </row>
    <row r="722">
      <c r="A722" s="53"/>
      <c r="B722" s="53"/>
      <c r="C722" s="54"/>
      <c r="D722" s="54"/>
      <c r="E722" s="55"/>
      <c r="F722" s="63"/>
      <c r="G722" s="56"/>
    </row>
    <row r="723">
      <c r="A723" s="53"/>
      <c r="B723" s="53"/>
      <c r="C723" s="54"/>
      <c r="D723" s="54"/>
      <c r="E723" s="55"/>
      <c r="F723" s="63"/>
      <c r="G723" s="56"/>
    </row>
    <row r="724">
      <c r="A724" s="53"/>
      <c r="B724" s="53"/>
      <c r="C724" s="54"/>
      <c r="D724" s="54"/>
      <c r="E724" s="55"/>
      <c r="F724" s="63"/>
      <c r="G724" s="56"/>
    </row>
    <row r="725">
      <c r="A725" s="53"/>
      <c r="B725" s="53"/>
      <c r="C725" s="54"/>
      <c r="D725" s="54"/>
      <c r="E725" s="55"/>
      <c r="F725" s="63"/>
      <c r="G725" s="56"/>
    </row>
    <row r="726">
      <c r="A726" s="53"/>
      <c r="B726" s="53"/>
      <c r="C726" s="54"/>
      <c r="D726" s="62"/>
      <c r="E726" s="55"/>
      <c r="F726" s="63"/>
      <c r="G726" s="56"/>
    </row>
    <row r="727">
      <c r="A727" s="53"/>
      <c r="B727" s="53"/>
      <c r="C727" s="54"/>
      <c r="D727" s="62"/>
      <c r="E727" s="55"/>
      <c r="F727" s="63"/>
      <c r="G727" s="56"/>
    </row>
    <row r="728">
      <c r="A728" s="53"/>
      <c r="B728" s="53"/>
      <c r="C728" s="54"/>
      <c r="D728" s="62"/>
      <c r="E728" s="55"/>
      <c r="F728" s="63"/>
      <c r="G728" s="56"/>
    </row>
    <row r="729">
      <c r="A729" s="53"/>
      <c r="B729" s="53"/>
      <c r="C729" s="54"/>
      <c r="D729" s="62"/>
      <c r="E729" s="55"/>
      <c r="F729" s="63"/>
      <c r="G729" s="56"/>
    </row>
    <row r="730">
      <c r="A730" s="53"/>
      <c r="B730" s="53"/>
      <c r="C730" s="54"/>
      <c r="D730" s="62"/>
      <c r="E730" s="55"/>
      <c r="F730" s="63"/>
      <c r="G730" s="56"/>
    </row>
    <row r="731">
      <c r="A731" s="53"/>
      <c r="B731" s="53"/>
      <c r="C731" s="54"/>
      <c r="D731" s="62"/>
      <c r="E731" s="55"/>
      <c r="F731" s="63"/>
      <c r="G731" s="56"/>
    </row>
    <row r="732">
      <c r="A732" s="47"/>
      <c r="B732" s="97"/>
      <c r="C732" s="49"/>
      <c r="D732" s="49"/>
      <c r="E732" s="49"/>
      <c r="F732" s="98"/>
      <c r="G732" s="49"/>
    </row>
    <row r="733">
      <c r="A733" s="51"/>
      <c r="B733" s="51"/>
      <c r="C733" s="52"/>
      <c r="D733" s="52"/>
      <c r="E733" s="52"/>
      <c r="F733" s="52"/>
      <c r="G733" s="52"/>
    </row>
    <row r="734">
      <c r="A734" s="53"/>
      <c r="B734" s="53"/>
      <c r="C734" s="54"/>
      <c r="D734" s="54"/>
      <c r="E734" s="55"/>
      <c r="F734" s="124"/>
      <c r="G734" s="55"/>
    </row>
    <row r="735">
      <c r="A735" s="53"/>
      <c r="B735" s="53"/>
      <c r="C735" s="54"/>
      <c r="D735" s="54"/>
      <c r="E735" s="55"/>
      <c r="F735" s="124"/>
      <c r="G735" s="55"/>
    </row>
    <row r="736">
      <c r="A736" s="53"/>
      <c r="B736" s="53"/>
      <c r="C736" s="54"/>
      <c r="D736" s="54"/>
      <c r="E736" s="55"/>
      <c r="F736" s="124"/>
      <c r="G736" s="55"/>
    </row>
    <row r="737">
      <c r="A737" s="76"/>
      <c r="B737" s="74"/>
      <c r="C737" s="75"/>
      <c r="D737" s="75"/>
      <c r="E737" s="76"/>
      <c r="F737" s="122"/>
      <c r="G737" s="77"/>
    </row>
    <row r="738">
      <c r="A738" s="71"/>
      <c r="B738" s="71"/>
      <c r="C738" s="72"/>
      <c r="D738" s="72"/>
      <c r="E738" s="71"/>
      <c r="F738" s="123"/>
      <c r="G738" s="73"/>
    </row>
    <row r="739">
      <c r="A739" s="76"/>
      <c r="B739" s="76"/>
      <c r="C739" s="75"/>
      <c r="D739" s="75"/>
      <c r="E739" s="76"/>
      <c r="F739" s="122"/>
      <c r="G739" s="77"/>
    </row>
    <row r="740">
      <c r="A740" s="71"/>
      <c r="B740" s="71"/>
      <c r="C740" s="72"/>
      <c r="D740" s="72"/>
      <c r="E740" s="71"/>
      <c r="F740" s="123"/>
      <c r="G740" s="73"/>
    </row>
    <row r="741">
      <c r="A741" s="76"/>
      <c r="B741" s="76"/>
      <c r="C741" s="75"/>
      <c r="D741" s="75"/>
      <c r="E741" s="76"/>
      <c r="F741" s="122"/>
      <c r="G741" s="77"/>
    </row>
    <row r="742">
      <c r="A742" s="76"/>
      <c r="B742" s="76"/>
      <c r="C742" s="75"/>
      <c r="D742" s="75"/>
      <c r="E742" s="76"/>
      <c r="F742" s="122"/>
      <c r="G742" s="77"/>
    </row>
    <row r="743">
      <c r="A743" s="71"/>
      <c r="B743" s="71"/>
      <c r="C743" s="72"/>
      <c r="D743" s="72"/>
      <c r="E743" s="71"/>
      <c r="F743" s="123"/>
      <c r="G743" s="73"/>
    </row>
    <row r="744">
      <c r="A744" s="76"/>
      <c r="B744" s="76"/>
      <c r="C744" s="75"/>
      <c r="D744" s="75"/>
      <c r="E744" s="76"/>
      <c r="F744" s="122"/>
      <c r="G744" s="77"/>
    </row>
    <row r="745">
      <c r="A745" s="71"/>
      <c r="B745" s="71"/>
      <c r="C745" s="72"/>
      <c r="D745" s="72"/>
      <c r="E745" s="71"/>
      <c r="F745" s="123"/>
      <c r="G745" s="73"/>
    </row>
    <row r="746">
      <c r="A746" s="76"/>
      <c r="B746" s="76"/>
      <c r="C746" s="75"/>
      <c r="D746" s="75"/>
      <c r="E746" s="76"/>
      <c r="F746" s="122"/>
      <c r="G746" s="77"/>
    </row>
    <row r="747">
      <c r="A747" s="71"/>
      <c r="B747" s="71"/>
      <c r="C747" s="72"/>
      <c r="D747" s="72"/>
      <c r="E747" s="71"/>
      <c r="F747" s="123"/>
      <c r="G747" s="73"/>
    </row>
    <row r="748">
      <c r="A748" s="76"/>
      <c r="B748" s="76"/>
      <c r="C748" s="75"/>
      <c r="D748" s="75"/>
      <c r="E748" s="76"/>
      <c r="F748" s="122"/>
      <c r="G748" s="77"/>
    </row>
    <row r="749">
      <c r="A749" s="71"/>
      <c r="B749" s="71"/>
      <c r="C749" s="72"/>
      <c r="D749" s="72"/>
      <c r="E749" s="71"/>
      <c r="F749" s="123"/>
      <c r="G749" s="73"/>
    </row>
    <row r="750">
      <c r="A750" s="76"/>
      <c r="B750" s="76"/>
      <c r="C750" s="75"/>
      <c r="D750" s="75"/>
      <c r="E750" s="76"/>
      <c r="F750" s="122"/>
      <c r="G750" s="77"/>
    </row>
    <row r="751">
      <c r="A751" s="71"/>
      <c r="B751" s="71"/>
      <c r="C751" s="72"/>
      <c r="D751" s="72"/>
      <c r="E751" s="71"/>
      <c r="F751" s="123"/>
      <c r="G751" s="73"/>
    </row>
    <row r="752">
      <c r="A752" s="76"/>
      <c r="B752" s="76"/>
      <c r="C752" s="75"/>
      <c r="D752" s="75"/>
      <c r="E752" s="76"/>
      <c r="F752" s="122"/>
      <c r="G752" s="77"/>
    </row>
    <row r="753">
      <c r="A753" s="71"/>
      <c r="B753" s="71"/>
      <c r="C753" s="72"/>
      <c r="D753" s="72"/>
      <c r="E753" s="71"/>
      <c r="F753" s="123"/>
      <c r="G753" s="73"/>
    </row>
    <row r="754">
      <c r="A754" s="76"/>
      <c r="B754" s="76"/>
      <c r="C754" s="75"/>
      <c r="D754" s="75"/>
      <c r="E754" s="76"/>
      <c r="F754" s="122"/>
      <c r="G754" s="77"/>
    </row>
    <row r="755">
      <c r="A755" s="71"/>
      <c r="B755" s="71"/>
      <c r="C755" s="72"/>
      <c r="D755" s="72"/>
      <c r="E755" s="71"/>
      <c r="F755" s="123"/>
      <c r="G755" s="73"/>
    </row>
    <row r="756">
      <c r="A756" s="71"/>
      <c r="B756" s="78"/>
      <c r="C756" s="72"/>
      <c r="D756" s="72"/>
      <c r="E756" s="71"/>
      <c r="F756" s="123"/>
      <c r="G756" s="73"/>
    </row>
    <row r="757">
      <c r="A757" s="76"/>
      <c r="B757" s="76"/>
      <c r="C757" s="75"/>
      <c r="D757" s="75"/>
      <c r="E757" s="76"/>
      <c r="F757" s="122"/>
      <c r="G757" s="77"/>
    </row>
    <row r="758">
      <c r="A758" s="71"/>
      <c r="B758" s="71"/>
      <c r="C758" s="72"/>
      <c r="D758" s="72"/>
      <c r="E758" s="71"/>
      <c r="F758" s="123"/>
      <c r="G758" s="73"/>
    </row>
    <row r="759">
      <c r="A759" s="76"/>
      <c r="B759" s="76"/>
      <c r="C759" s="75"/>
      <c r="D759" s="75"/>
      <c r="E759" s="76"/>
      <c r="F759" s="122"/>
      <c r="G759" s="77"/>
    </row>
    <row r="760">
      <c r="A760" s="71"/>
      <c r="B760" s="78"/>
      <c r="C760" s="72"/>
      <c r="D760" s="72"/>
      <c r="E760" s="71"/>
      <c r="F760" s="123"/>
      <c r="G760" s="73"/>
    </row>
    <row r="761">
      <c r="A761" s="71"/>
      <c r="B761" s="78"/>
      <c r="C761" s="72"/>
      <c r="D761" s="72"/>
      <c r="E761" s="71"/>
      <c r="F761" s="123"/>
      <c r="G761" s="73"/>
    </row>
    <row r="762">
      <c r="A762" s="76"/>
      <c r="B762" s="76"/>
      <c r="C762" s="75"/>
      <c r="D762" s="76"/>
      <c r="E762" s="76"/>
      <c r="F762" s="122"/>
      <c r="G762" s="77"/>
    </row>
    <row r="763">
      <c r="A763" s="71"/>
      <c r="B763" s="71"/>
      <c r="C763" s="72"/>
      <c r="D763" s="76"/>
      <c r="E763" s="71"/>
      <c r="F763" s="123"/>
      <c r="G763" s="73"/>
    </row>
    <row r="764">
      <c r="A764" s="76"/>
      <c r="B764" s="76"/>
      <c r="C764" s="75"/>
      <c r="D764" s="76"/>
      <c r="E764" s="76"/>
      <c r="F764" s="122"/>
      <c r="G764" s="77"/>
    </row>
    <row r="765">
      <c r="A765" s="53"/>
      <c r="B765" s="53"/>
      <c r="C765" s="54"/>
      <c r="D765" s="54"/>
      <c r="E765" s="55"/>
      <c r="F765" s="63"/>
      <c r="G765" s="56"/>
    </row>
    <row r="766">
      <c r="A766" s="53"/>
      <c r="B766" s="53"/>
      <c r="C766" s="54"/>
      <c r="D766" s="54"/>
      <c r="E766" s="55"/>
      <c r="F766" s="63"/>
      <c r="G766" s="56"/>
    </row>
    <row r="767">
      <c r="A767" s="53"/>
      <c r="B767" s="53"/>
      <c r="C767" s="54"/>
      <c r="D767" s="54"/>
      <c r="E767" s="55"/>
      <c r="F767" s="63"/>
      <c r="G767" s="56"/>
    </row>
    <row r="768">
      <c r="A768" s="53"/>
      <c r="B768" s="53"/>
      <c r="C768" s="54"/>
      <c r="D768" s="54"/>
      <c r="E768" s="55"/>
      <c r="F768" s="63"/>
      <c r="G768" s="56"/>
    </row>
    <row r="769">
      <c r="A769" s="53"/>
      <c r="B769" s="53"/>
      <c r="C769" s="54"/>
      <c r="D769" s="54"/>
      <c r="E769" s="55"/>
      <c r="F769" s="63"/>
      <c r="G769" s="56"/>
    </row>
    <row r="770">
      <c r="A770" s="53"/>
      <c r="B770" s="53"/>
      <c r="C770" s="54"/>
      <c r="D770" s="54"/>
      <c r="E770" s="55"/>
      <c r="F770" s="63"/>
      <c r="G770" s="56"/>
    </row>
    <row r="771">
      <c r="A771" s="53"/>
      <c r="B771" s="53"/>
      <c r="C771" s="54"/>
      <c r="D771" s="54"/>
      <c r="E771" s="55"/>
      <c r="F771" s="63"/>
      <c r="G771" s="56"/>
    </row>
    <row r="772">
      <c r="A772" s="53"/>
      <c r="B772" s="53"/>
      <c r="C772" s="54"/>
      <c r="D772" s="54"/>
      <c r="E772" s="55"/>
      <c r="F772" s="63"/>
      <c r="G772" s="56"/>
    </row>
    <row r="773">
      <c r="A773" s="53"/>
      <c r="B773" s="53"/>
      <c r="C773" s="54"/>
      <c r="D773" s="54"/>
      <c r="E773" s="55"/>
      <c r="F773" s="63"/>
      <c r="G773" s="56"/>
    </row>
    <row r="774">
      <c r="A774" s="53"/>
      <c r="B774" s="53"/>
      <c r="C774" s="54"/>
      <c r="D774" s="54"/>
      <c r="E774" s="55"/>
      <c r="F774" s="63"/>
      <c r="G774" s="56"/>
    </row>
    <row r="775">
      <c r="A775" s="53"/>
      <c r="B775" s="53"/>
      <c r="C775" s="54"/>
      <c r="D775" s="62"/>
      <c r="E775" s="55"/>
      <c r="F775" s="63"/>
      <c r="G775" s="56"/>
    </row>
    <row r="776">
      <c r="A776" s="53"/>
      <c r="B776" s="53"/>
      <c r="C776" s="54"/>
      <c r="D776" s="62"/>
      <c r="E776" s="55"/>
      <c r="F776" s="63"/>
      <c r="G776" s="56"/>
    </row>
    <row r="777">
      <c r="A777" s="53"/>
      <c r="B777" s="53"/>
      <c r="C777" s="54"/>
      <c r="D777" s="62"/>
      <c r="E777" s="55"/>
      <c r="F777" s="63"/>
      <c r="G777" s="56"/>
    </row>
    <row r="778">
      <c r="A778" s="53"/>
      <c r="B778" s="53"/>
      <c r="C778" s="54"/>
      <c r="D778" s="62"/>
      <c r="E778" s="55"/>
      <c r="F778" s="63"/>
      <c r="G778" s="56"/>
    </row>
    <row r="779">
      <c r="A779" s="53"/>
      <c r="B779" s="53"/>
      <c r="C779" s="54"/>
      <c r="D779" s="62"/>
      <c r="E779" s="55"/>
      <c r="F779" s="63"/>
      <c r="G779" s="56"/>
    </row>
    <row r="780">
      <c r="A780" s="53"/>
      <c r="B780" s="53"/>
      <c r="C780" s="54"/>
      <c r="D780" s="62"/>
      <c r="E780" s="55"/>
      <c r="F780" s="63"/>
      <c r="G780" s="56"/>
    </row>
    <row r="781">
      <c r="A781" s="47"/>
      <c r="B781" s="97"/>
      <c r="C781" s="49"/>
      <c r="D781" s="49"/>
      <c r="E781" s="49"/>
      <c r="F781" s="98"/>
      <c r="G781" s="49"/>
    </row>
    <row r="782">
      <c r="A782" s="51"/>
      <c r="B782" s="51"/>
      <c r="C782" s="52"/>
      <c r="D782" s="52"/>
      <c r="E782" s="52"/>
      <c r="F782" s="52"/>
      <c r="G782" s="52"/>
    </row>
    <row r="783">
      <c r="A783" s="53"/>
      <c r="B783" s="53"/>
      <c r="C783" s="54"/>
      <c r="D783" s="54"/>
      <c r="E783" s="55"/>
      <c r="F783" s="124"/>
      <c r="G783" s="55"/>
    </row>
    <row r="784">
      <c r="A784" s="53"/>
      <c r="B784" s="53"/>
      <c r="C784" s="54"/>
      <c r="D784" s="54"/>
      <c r="E784" s="55"/>
      <c r="F784" s="124"/>
      <c r="G784" s="55"/>
    </row>
    <row r="785">
      <c r="A785" s="53"/>
      <c r="B785" s="53"/>
      <c r="C785" s="54"/>
      <c r="D785" s="54"/>
      <c r="E785" s="55"/>
      <c r="F785" s="124"/>
      <c r="G785" s="55"/>
    </row>
    <row r="786">
      <c r="A786" s="76"/>
      <c r="B786" s="74"/>
      <c r="C786" s="75"/>
      <c r="D786" s="75"/>
      <c r="E786" s="76"/>
      <c r="F786" s="122"/>
      <c r="G786" s="77"/>
    </row>
    <row r="787">
      <c r="A787" s="71"/>
      <c r="B787" s="71"/>
      <c r="C787" s="72"/>
      <c r="D787" s="72"/>
      <c r="E787" s="71"/>
      <c r="F787" s="123"/>
      <c r="G787" s="73"/>
    </row>
    <row r="788">
      <c r="A788" s="76"/>
      <c r="B788" s="76"/>
      <c r="C788" s="75"/>
      <c r="D788" s="75"/>
      <c r="E788" s="76"/>
      <c r="F788" s="122"/>
      <c r="G788" s="77"/>
    </row>
    <row r="789">
      <c r="A789" s="71"/>
      <c r="B789" s="71"/>
      <c r="C789" s="72"/>
      <c r="D789" s="72"/>
      <c r="E789" s="71"/>
      <c r="F789" s="123"/>
      <c r="G789" s="73"/>
    </row>
    <row r="790">
      <c r="A790" s="76"/>
      <c r="B790" s="76"/>
      <c r="C790" s="75"/>
      <c r="D790" s="75"/>
      <c r="E790" s="76"/>
      <c r="F790" s="122"/>
      <c r="G790" s="77"/>
    </row>
    <row r="791">
      <c r="A791" s="76"/>
      <c r="B791" s="76"/>
      <c r="C791" s="75"/>
      <c r="D791" s="75"/>
      <c r="E791" s="76"/>
      <c r="F791" s="122"/>
      <c r="G791" s="77"/>
    </row>
    <row r="792">
      <c r="A792" s="71"/>
      <c r="B792" s="71"/>
      <c r="C792" s="72"/>
      <c r="D792" s="72"/>
      <c r="E792" s="71"/>
      <c r="F792" s="123"/>
      <c r="G792" s="73"/>
    </row>
    <row r="793">
      <c r="A793" s="76"/>
      <c r="B793" s="76"/>
      <c r="C793" s="75"/>
      <c r="D793" s="75"/>
      <c r="E793" s="76"/>
      <c r="F793" s="122"/>
      <c r="G793" s="77"/>
    </row>
    <row r="794">
      <c r="A794" s="71"/>
      <c r="B794" s="71"/>
      <c r="C794" s="72"/>
      <c r="D794" s="72"/>
      <c r="E794" s="71"/>
      <c r="F794" s="123"/>
      <c r="G794" s="73"/>
    </row>
    <row r="795">
      <c r="A795" s="76"/>
      <c r="B795" s="76"/>
      <c r="C795" s="75"/>
      <c r="D795" s="75"/>
      <c r="E795" s="76"/>
      <c r="F795" s="122"/>
      <c r="G795" s="77"/>
    </row>
    <row r="796">
      <c r="A796" s="71"/>
      <c r="B796" s="71"/>
      <c r="C796" s="72"/>
      <c r="D796" s="72"/>
      <c r="E796" s="71"/>
      <c r="F796" s="123"/>
      <c r="G796" s="73"/>
    </row>
    <row r="797">
      <c r="A797" s="76"/>
      <c r="B797" s="76"/>
      <c r="C797" s="75"/>
      <c r="D797" s="75"/>
      <c r="E797" s="76"/>
      <c r="F797" s="122"/>
      <c r="G797" s="77"/>
    </row>
    <row r="798">
      <c r="A798" s="71"/>
      <c r="B798" s="71"/>
      <c r="C798" s="72"/>
      <c r="D798" s="72"/>
      <c r="E798" s="71"/>
      <c r="F798" s="123"/>
      <c r="G798" s="73"/>
    </row>
    <row r="799">
      <c r="A799" s="76"/>
      <c r="B799" s="76"/>
      <c r="C799" s="75"/>
      <c r="D799" s="75"/>
      <c r="E799" s="76"/>
      <c r="F799" s="122"/>
      <c r="G799" s="77"/>
    </row>
    <row r="800">
      <c r="A800" s="71"/>
      <c r="B800" s="71"/>
      <c r="C800" s="72"/>
      <c r="D800" s="72"/>
      <c r="E800" s="71"/>
      <c r="F800" s="123"/>
      <c r="G800" s="73"/>
    </row>
    <row r="801">
      <c r="A801" s="76"/>
      <c r="B801" s="76"/>
      <c r="C801" s="75"/>
      <c r="D801" s="75"/>
      <c r="E801" s="76"/>
      <c r="F801" s="122"/>
      <c r="G801" s="77"/>
    </row>
    <row r="802">
      <c r="A802" s="71"/>
      <c r="B802" s="71"/>
      <c r="C802" s="72"/>
      <c r="D802" s="72"/>
      <c r="E802" s="71"/>
      <c r="F802" s="123"/>
      <c r="G802" s="73"/>
    </row>
    <row r="803">
      <c r="A803" s="76"/>
      <c r="B803" s="76"/>
      <c r="C803" s="75"/>
      <c r="D803" s="75"/>
      <c r="E803" s="76"/>
      <c r="F803" s="122"/>
      <c r="G803" s="77"/>
    </row>
    <row r="804">
      <c r="A804" s="71"/>
      <c r="B804" s="71"/>
      <c r="C804" s="72"/>
      <c r="D804" s="72"/>
      <c r="E804" s="71"/>
      <c r="F804" s="123"/>
      <c r="G804" s="73"/>
    </row>
    <row r="805">
      <c r="A805" s="71"/>
      <c r="B805" s="78"/>
      <c r="C805" s="72"/>
      <c r="D805" s="72"/>
      <c r="E805" s="71"/>
      <c r="F805" s="123"/>
      <c r="G805" s="73"/>
    </row>
    <row r="806">
      <c r="A806" s="76"/>
      <c r="B806" s="76"/>
      <c r="C806" s="75"/>
      <c r="D806" s="75"/>
      <c r="E806" s="76"/>
      <c r="F806" s="122"/>
      <c r="G806" s="77"/>
    </row>
    <row r="807">
      <c r="A807" s="71"/>
      <c r="B807" s="71"/>
      <c r="C807" s="72"/>
      <c r="D807" s="72"/>
      <c r="E807" s="71"/>
      <c r="F807" s="123"/>
      <c r="G807" s="73"/>
    </row>
    <row r="808">
      <c r="A808" s="76"/>
      <c r="B808" s="76"/>
      <c r="C808" s="75"/>
      <c r="D808" s="75"/>
      <c r="E808" s="76"/>
      <c r="F808" s="122"/>
      <c r="G808" s="77"/>
    </row>
    <row r="809">
      <c r="A809" s="71"/>
      <c r="B809" s="78"/>
      <c r="C809" s="72"/>
      <c r="D809" s="72"/>
      <c r="E809" s="71"/>
      <c r="F809" s="123"/>
      <c r="G809" s="73"/>
    </row>
    <row r="810">
      <c r="A810" s="71"/>
      <c r="B810" s="78"/>
      <c r="C810" s="72"/>
      <c r="D810" s="72"/>
      <c r="E810" s="71"/>
      <c r="F810" s="123"/>
      <c r="G810" s="73"/>
    </row>
    <row r="811">
      <c r="A811" s="76"/>
      <c r="B811" s="76"/>
      <c r="C811" s="75"/>
      <c r="D811" s="76"/>
      <c r="E811" s="76"/>
      <c r="F811" s="122"/>
      <c r="G811" s="77"/>
    </row>
    <row r="812">
      <c r="A812" s="71"/>
      <c r="B812" s="71"/>
      <c r="C812" s="72"/>
      <c r="D812" s="76"/>
      <c r="E812" s="71"/>
      <c r="F812" s="123"/>
      <c r="G812" s="73"/>
    </row>
    <row r="813">
      <c r="A813" s="76"/>
      <c r="B813" s="76"/>
      <c r="C813" s="75"/>
      <c r="D813" s="76"/>
      <c r="E813" s="76"/>
      <c r="F813" s="122"/>
      <c r="G813" s="77"/>
    </row>
    <row r="814">
      <c r="A814" s="53"/>
      <c r="B814" s="53"/>
      <c r="C814" s="54"/>
      <c r="D814" s="54"/>
      <c r="E814" s="55"/>
      <c r="F814" s="63"/>
      <c r="G814" s="56"/>
    </row>
    <row r="815">
      <c r="A815" s="53"/>
      <c r="B815" s="53"/>
      <c r="C815" s="54"/>
      <c r="D815" s="54"/>
      <c r="E815" s="55"/>
      <c r="F815" s="63"/>
      <c r="G815" s="56"/>
    </row>
    <row r="816">
      <c r="A816" s="53"/>
      <c r="B816" s="53"/>
      <c r="C816" s="54"/>
      <c r="D816" s="54"/>
      <c r="E816" s="55"/>
      <c r="F816" s="63"/>
      <c r="G816" s="56"/>
    </row>
    <row r="817">
      <c r="A817" s="53"/>
      <c r="B817" s="53"/>
      <c r="C817" s="54"/>
      <c r="D817" s="54"/>
      <c r="E817" s="55"/>
      <c r="F817" s="63"/>
      <c r="G817" s="56"/>
    </row>
    <row r="818">
      <c r="A818" s="53"/>
      <c r="B818" s="53"/>
      <c r="C818" s="54"/>
      <c r="D818" s="54"/>
      <c r="E818" s="55"/>
      <c r="F818" s="63"/>
      <c r="G818" s="56"/>
    </row>
    <row r="819">
      <c r="A819" s="53"/>
      <c r="B819" s="53"/>
      <c r="C819" s="54"/>
      <c r="D819" s="54"/>
      <c r="E819" s="55"/>
      <c r="F819" s="63"/>
      <c r="G819" s="56"/>
    </row>
    <row r="820">
      <c r="A820" s="53"/>
      <c r="B820" s="53"/>
      <c r="C820" s="54"/>
      <c r="D820" s="54"/>
      <c r="E820" s="55"/>
      <c r="F820" s="63"/>
      <c r="G820" s="56"/>
    </row>
    <row r="821">
      <c r="A821" s="53"/>
      <c r="B821" s="53"/>
      <c r="C821" s="54"/>
      <c r="D821" s="54"/>
      <c r="E821" s="55"/>
      <c r="F821" s="63"/>
      <c r="G821" s="56"/>
    </row>
    <row r="822">
      <c r="A822" s="53"/>
      <c r="B822" s="53"/>
      <c r="C822" s="54"/>
      <c r="D822" s="54"/>
      <c r="E822" s="55"/>
      <c r="F822" s="63"/>
      <c r="G822" s="56"/>
    </row>
    <row r="823">
      <c r="A823" s="53"/>
      <c r="B823" s="53"/>
      <c r="C823" s="54"/>
      <c r="D823" s="54"/>
      <c r="E823" s="55"/>
      <c r="F823" s="63"/>
      <c r="G823" s="56"/>
    </row>
    <row r="824">
      <c r="A824" s="53"/>
      <c r="B824" s="53"/>
      <c r="C824" s="54"/>
      <c r="D824" s="62"/>
      <c r="E824" s="55"/>
      <c r="F824" s="63"/>
      <c r="G824" s="56"/>
    </row>
    <row r="825">
      <c r="A825" s="53"/>
      <c r="B825" s="53"/>
      <c r="C825" s="54"/>
      <c r="D825" s="62"/>
      <c r="E825" s="55"/>
      <c r="F825" s="63"/>
      <c r="G825" s="56"/>
    </row>
    <row r="826">
      <c r="A826" s="53"/>
      <c r="B826" s="53"/>
      <c r="C826" s="54"/>
      <c r="D826" s="62"/>
      <c r="E826" s="55"/>
      <c r="F826" s="63"/>
      <c r="G826" s="56"/>
    </row>
    <row r="827">
      <c r="A827" s="53"/>
      <c r="B827" s="53"/>
      <c r="C827" s="54"/>
      <c r="D827" s="62"/>
      <c r="E827" s="55"/>
      <c r="F827" s="63"/>
      <c r="G827" s="56"/>
    </row>
    <row r="828">
      <c r="A828" s="53"/>
      <c r="B828" s="53"/>
      <c r="C828" s="54"/>
      <c r="D828" s="62"/>
      <c r="E828" s="55"/>
      <c r="F828" s="63"/>
      <c r="G828" s="56"/>
    </row>
    <row r="829">
      <c r="A829" s="53"/>
      <c r="B829" s="53"/>
      <c r="C829" s="54"/>
      <c r="D829" s="62"/>
      <c r="E829" s="55"/>
      <c r="F829" s="63"/>
      <c r="G829" s="56"/>
    </row>
    <row r="830">
      <c r="A830" s="47"/>
      <c r="B830" s="97"/>
      <c r="C830" s="49"/>
      <c r="D830" s="49"/>
      <c r="E830" s="49"/>
      <c r="F830" s="98"/>
      <c r="G830" s="49"/>
    </row>
    <row r="831">
      <c r="A831" s="51"/>
      <c r="B831" s="51"/>
      <c r="C831" s="52"/>
      <c r="D831" s="52"/>
      <c r="E831" s="52"/>
      <c r="F831" s="52"/>
      <c r="G831" s="52"/>
    </row>
    <row r="832">
      <c r="A832" s="53"/>
      <c r="B832" s="53"/>
      <c r="C832" s="54"/>
      <c r="D832" s="54"/>
      <c r="E832" s="55"/>
      <c r="F832" s="124"/>
      <c r="G832" s="55"/>
    </row>
    <row r="833">
      <c r="A833" s="53"/>
      <c r="B833" s="53"/>
      <c r="C833" s="54"/>
      <c r="D833" s="54"/>
      <c r="E833" s="55"/>
      <c r="F833" s="124"/>
      <c r="G833" s="55"/>
    </row>
    <row r="834">
      <c r="A834" s="53"/>
      <c r="B834" s="53"/>
      <c r="C834" s="54"/>
      <c r="D834" s="54"/>
      <c r="E834" s="55"/>
      <c r="F834" s="124"/>
      <c r="G834" s="55"/>
    </row>
    <row r="835">
      <c r="A835" s="76"/>
      <c r="B835" s="74"/>
      <c r="C835" s="75"/>
      <c r="D835" s="75"/>
      <c r="E835" s="76"/>
      <c r="F835" s="122"/>
      <c r="G835" s="77"/>
    </row>
    <row r="836">
      <c r="A836" s="71"/>
      <c r="B836" s="71"/>
      <c r="C836" s="72"/>
      <c r="D836" s="72"/>
      <c r="E836" s="71"/>
      <c r="F836" s="123"/>
      <c r="G836" s="73"/>
    </row>
    <row r="837">
      <c r="A837" s="76"/>
      <c r="B837" s="76"/>
      <c r="C837" s="75"/>
      <c r="D837" s="75"/>
      <c r="E837" s="76"/>
      <c r="F837" s="122"/>
      <c r="G837" s="77"/>
    </row>
    <row r="838">
      <c r="A838" s="71"/>
      <c r="B838" s="71"/>
      <c r="C838" s="72"/>
      <c r="D838" s="72"/>
      <c r="E838" s="71"/>
      <c r="F838" s="123"/>
      <c r="G838" s="73"/>
    </row>
    <row r="839">
      <c r="A839" s="76"/>
      <c r="B839" s="76"/>
      <c r="C839" s="75"/>
      <c r="D839" s="75"/>
      <c r="E839" s="76"/>
      <c r="F839" s="122"/>
      <c r="G839" s="77"/>
    </row>
    <row r="840">
      <c r="A840" s="76"/>
      <c r="B840" s="76"/>
      <c r="C840" s="75"/>
      <c r="D840" s="75"/>
      <c r="E840" s="76"/>
      <c r="F840" s="122"/>
      <c r="G840" s="77"/>
    </row>
    <row r="841">
      <c r="A841" s="71"/>
      <c r="B841" s="71"/>
      <c r="C841" s="72"/>
      <c r="D841" s="72"/>
      <c r="E841" s="71"/>
      <c r="F841" s="123"/>
      <c r="G841" s="73"/>
    </row>
    <row r="842">
      <c r="A842" s="76"/>
      <c r="B842" s="76"/>
      <c r="C842" s="75"/>
      <c r="D842" s="75"/>
      <c r="E842" s="76"/>
      <c r="F842" s="122"/>
      <c r="G842" s="77"/>
    </row>
    <row r="843">
      <c r="A843" s="71"/>
      <c r="B843" s="71"/>
      <c r="C843" s="72"/>
      <c r="D843" s="72"/>
      <c r="E843" s="71"/>
      <c r="F843" s="123"/>
      <c r="G843" s="73"/>
    </row>
    <row r="844">
      <c r="A844" s="76"/>
      <c r="B844" s="76"/>
      <c r="C844" s="75"/>
      <c r="D844" s="75"/>
      <c r="E844" s="76"/>
      <c r="F844" s="122"/>
      <c r="G844" s="77"/>
    </row>
    <row r="845">
      <c r="A845" s="71"/>
      <c r="B845" s="71"/>
      <c r="C845" s="72"/>
      <c r="D845" s="72"/>
      <c r="E845" s="71"/>
      <c r="F845" s="123"/>
      <c r="G845" s="73"/>
    </row>
    <row r="846">
      <c r="A846" s="76"/>
      <c r="B846" s="76"/>
      <c r="C846" s="75"/>
      <c r="D846" s="75"/>
      <c r="E846" s="76"/>
      <c r="F846" s="122"/>
      <c r="G846" s="77"/>
    </row>
    <row r="847">
      <c r="A847" s="71"/>
      <c r="B847" s="71"/>
      <c r="C847" s="72"/>
      <c r="D847" s="72"/>
      <c r="E847" s="71"/>
      <c r="F847" s="123"/>
      <c r="G847" s="73"/>
    </row>
    <row r="848">
      <c r="A848" s="76"/>
      <c r="B848" s="76"/>
      <c r="C848" s="75"/>
      <c r="D848" s="75"/>
      <c r="E848" s="76"/>
      <c r="F848" s="122"/>
      <c r="G848" s="77"/>
    </row>
    <row r="849">
      <c r="A849" s="71"/>
      <c r="B849" s="71"/>
      <c r="C849" s="72"/>
      <c r="D849" s="72"/>
      <c r="E849" s="71"/>
      <c r="F849" s="123"/>
      <c r="G849" s="73"/>
    </row>
    <row r="850">
      <c r="A850" s="76"/>
      <c r="B850" s="76"/>
      <c r="C850" s="75"/>
      <c r="D850" s="75"/>
      <c r="E850" s="76"/>
      <c r="F850" s="122"/>
      <c r="G850" s="77"/>
    </row>
    <row r="851">
      <c r="A851" s="71"/>
      <c r="B851" s="71"/>
      <c r="C851" s="72"/>
      <c r="D851" s="72"/>
      <c r="E851" s="71"/>
      <c r="F851" s="123"/>
      <c r="G851" s="73"/>
    </row>
    <row r="852">
      <c r="A852" s="76"/>
      <c r="B852" s="76"/>
      <c r="C852" s="75"/>
      <c r="D852" s="75"/>
      <c r="E852" s="76"/>
      <c r="F852" s="122"/>
      <c r="G852" s="77"/>
    </row>
    <row r="853">
      <c r="A853" s="71"/>
      <c r="B853" s="71"/>
      <c r="C853" s="72"/>
      <c r="D853" s="72"/>
      <c r="E853" s="71"/>
      <c r="F853" s="123"/>
      <c r="G853" s="73"/>
    </row>
    <row r="854">
      <c r="A854" s="71"/>
      <c r="B854" s="78"/>
      <c r="C854" s="72"/>
      <c r="D854" s="72"/>
      <c r="E854" s="71"/>
      <c r="F854" s="123"/>
      <c r="G854" s="73"/>
    </row>
    <row r="855">
      <c r="A855" s="76"/>
      <c r="B855" s="76"/>
      <c r="C855" s="75"/>
      <c r="D855" s="75"/>
      <c r="E855" s="76"/>
      <c r="F855" s="122"/>
      <c r="G855" s="77"/>
    </row>
    <row r="856">
      <c r="A856" s="71"/>
      <c r="B856" s="71"/>
      <c r="C856" s="72"/>
      <c r="D856" s="72"/>
      <c r="E856" s="71"/>
      <c r="F856" s="123"/>
      <c r="G856" s="73"/>
    </row>
    <row r="857">
      <c r="A857" s="76"/>
      <c r="B857" s="76"/>
      <c r="C857" s="75"/>
      <c r="D857" s="75"/>
      <c r="E857" s="76"/>
      <c r="F857" s="122"/>
      <c r="G857" s="77"/>
    </row>
    <row r="858">
      <c r="A858" s="71"/>
      <c r="B858" s="78"/>
      <c r="C858" s="72"/>
      <c r="D858" s="72"/>
      <c r="E858" s="71"/>
      <c r="F858" s="123"/>
      <c r="G858" s="73"/>
    </row>
    <row r="859">
      <c r="A859" s="71"/>
      <c r="B859" s="78"/>
      <c r="C859" s="72"/>
      <c r="D859" s="72"/>
      <c r="E859" s="71"/>
      <c r="F859" s="123"/>
      <c r="G859" s="73"/>
    </row>
    <row r="860">
      <c r="A860" s="76"/>
      <c r="B860" s="76"/>
      <c r="C860" s="75"/>
      <c r="D860" s="76"/>
      <c r="E860" s="76"/>
      <c r="F860" s="122"/>
      <c r="G860" s="77"/>
    </row>
    <row r="861">
      <c r="A861" s="71"/>
      <c r="B861" s="71"/>
      <c r="C861" s="72"/>
      <c r="D861" s="76"/>
      <c r="E861" s="71"/>
      <c r="F861" s="123"/>
      <c r="G861" s="73"/>
    </row>
    <row r="862">
      <c r="A862" s="76"/>
      <c r="B862" s="76"/>
      <c r="C862" s="75"/>
      <c r="D862" s="76"/>
      <c r="E862" s="76"/>
      <c r="F862" s="122"/>
      <c r="G862" s="77"/>
    </row>
    <row r="863">
      <c r="A863" s="53"/>
      <c r="B863" s="53"/>
      <c r="C863" s="54"/>
      <c r="D863" s="54"/>
      <c r="E863" s="55"/>
      <c r="F863" s="63"/>
      <c r="G863" s="56"/>
    </row>
    <row r="864">
      <c r="A864" s="53"/>
      <c r="B864" s="53"/>
      <c r="C864" s="54"/>
      <c r="D864" s="54"/>
      <c r="E864" s="55"/>
      <c r="F864" s="63"/>
      <c r="G864" s="56"/>
    </row>
    <row r="865">
      <c r="A865" s="53"/>
      <c r="B865" s="53"/>
      <c r="C865" s="54"/>
      <c r="D865" s="54"/>
      <c r="E865" s="55"/>
      <c r="F865" s="63"/>
      <c r="G865" s="56"/>
    </row>
    <row r="866">
      <c r="A866" s="53"/>
      <c r="B866" s="53"/>
      <c r="C866" s="54"/>
      <c r="D866" s="54"/>
      <c r="E866" s="55"/>
      <c r="F866" s="63"/>
      <c r="G866" s="56"/>
    </row>
    <row r="867">
      <c r="A867" s="53"/>
      <c r="B867" s="53"/>
      <c r="C867" s="54"/>
      <c r="D867" s="54"/>
      <c r="E867" s="55"/>
      <c r="F867" s="63"/>
      <c r="G867" s="56"/>
    </row>
    <row r="868">
      <c r="A868" s="53"/>
      <c r="B868" s="53"/>
      <c r="C868" s="54"/>
      <c r="D868" s="54"/>
      <c r="E868" s="55"/>
      <c r="F868" s="63"/>
      <c r="G868" s="56"/>
    </row>
    <row r="869">
      <c r="A869" s="53"/>
      <c r="B869" s="53"/>
      <c r="C869" s="54"/>
      <c r="D869" s="54"/>
      <c r="E869" s="55"/>
      <c r="F869" s="63"/>
      <c r="G869" s="56"/>
    </row>
    <row r="870">
      <c r="A870" s="53"/>
      <c r="B870" s="53"/>
      <c r="C870" s="54"/>
      <c r="D870" s="54"/>
      <c r="E870" s="55"/>
      <c r="F870" s="63"/>
      <c r="G870" s="56"/>
    </row>
    <row r="871">
      <c r="A871" s="53"/>
      <c r="B871" s="53"/>
      <c r="C871" s="54"/>
      <c r="D871" s="54"/>
      <c r="E871" s="55"/>
      <c r="F871" s="63"/>
      <c r="G871" s="56"/>
    </row>
    <row r="872">
      <c r="A872" s="53"/>
      <c r="B872" s="53"/>
      <c r="C872" s="54"/>
      <c r="D872" s="54"/>
      <c r="E872" s="55"/>
      <c r="F872" s="63"/>
      <c r="G872" s="56"/>
    </row>
    <row r="873">
      <c r="A873" s="53"/>
      <c r="B873" s="53"/>
      <c r="C873" s="54"/>
      <c r="D873" s="62"/>
      <c r="E873" s="55"/>
      <c r="F873" s="63"/>
      <c r="G873" s="56"/>
    </row>
    <row r="874">
      <c r="A874" s="53"/>
      <c r="B874" s="53"/>
      <c r="C874" s="54"/>
      <c r="D874" s="62"/>
      <c r="E874" s="55"/>
      <c r="F874" s="63"/>
      <c r="G874" s="56"/>
    </row>
    <row r="875">
      <c r="A875" s="53"/>
      <c r="B875" s="53"/>
      <c r="C875" s="54"/>
      <c r="D875" s="62"/>
      <c r="E875" s="55"/>
      <c r="F875" s="63"/>
      <c r="G875" s="56"/>
    </row>
    <row r="876">
      <c r="A876" s="53"/>
      <c r="B876" s="53"/>
      <c r="C876" s="54"/>
      <c r="D876" s="62"/>
      <c r="E876" s="55"/>
      <c r="F876" s="63"/>
      <c r="G876" s="56"/>
    </row>
    <row r="877">
      <c r="A877" s="53"/>
      <c r="B877" s="53"/>
      <c r="C877" s="54"/>
      <c r="D877" s="62"/>
      <c r="E877" s="55"/>
      <c r="F877" s="63"/>
      <c r="G877" s="56"/>
    </row>
    <row r="878">
      <c r="A878" s="53"/>
      <c r="B878" s="53"/>
      <c r="C878" s="54"/>
      <c r="D878" s="62"/>
      <c r="E878" s="55"/>
      <c r="F878" s="63"/>
      <c r="G878" s="56"/>
    </row>
    <row r="879">
      <c r="A879" s="47"/>
      <c r="B879" s="97"/>
      <c r="C879" s="49"/>
      <c r="D879" s="49"/>
      <c r="E879" s="49"/>
      <c r="F879" s="98"/>
      <c r="G879" s="49"/>
    </row>
    <row r="880">
      <c r="A880" s="51"/>
      <c r="B880" s="51"/>
      <c r="C880" s="52"/>
      <c r="D880" s="52"/>
      <c r="E880" s="52"/>
      <c r="F880" s="52"/>
      <c r="G880" s="52"/>
    </row>
    <row r="881">
      <c r="A881" s="53"/>
      <c r="B881" s="53"/>
      <c r="C881" s="54"/>
      <c r="D881" s="54"/>
      <c r="E881" s="55"/>
      <c r="F881" s="124"/>
      <c r="G881" s="55"/>
    </row>
    <row r="882">
      <c r="A882" s="53"/>
      <c r="B882" s="53"/>
      <c r="C882" s="54"/>
      <c r="D882" s="54"/>
      <c r="E882" s="55"/>
      <c r="F882" s="124"/>
      <c r="G882" s="55"/>
    </row>
    <row r="883">
      <c r="A883" s="53"/>
      <c r="B883" s="53"/>
      <c r="C883" s="54"/>
      <c r="D883" s="54"/>
      <c r="E883" s="55"/>
      <c r="F883" s="124"/>
      <c r="G883" s="55"/>
    </row>
    <row r="884">
      <c r="A884" s="76"/>
      <c r="B884" s="74"/>
      <c r="C884" s="75"/>
      <c r="D884" s="75"/>
      <c r="E884" s="76"/>
      <c r="F884" s="122"/>
      <c r="G884" s="77"/>
    </row>
    <row r="885">
      <c r="A885" s="71"/>
      <c r="B885" s="71"/>
      <c r="C885" s="72"/>
      <c r="D885" s="72"/>
      <c r="E885" s="71"/>
      <c r="F885" s="123"/>
      <c r="G885" s="73"/>
    </row>
    <row r="886">
      <c r="A886" s="76"/>
      <c r="B886" s="76"/>
      <c r="C886" s="75"/>
      <c r="D886" s="75"/>
      <c r="E886" s="76"/>
      <c r="F886" s="122"/>
      <c r="G886" s="77"/>
    </row>
    <row r="887">
      <c r="A887" s="71"/>
      <c r="B887" s="71"/>
      <c r="C887" s="72"/>
      <c r="D887" s="72"/>
      <c r="E887" s="71"/>
      <c r="F887" s="123"/>
      <c r="G887" s="73"/>
    </row>
    <row r="888">
      <c r="A888" s="76"/>
      <c r="B888" s="76"/>
      <c r="C888" s="75"/>
      <c r="D888" s="75"/>
      <c r="E888" s="76"/>
      <c r="F888" s="122"/>
      <c r="G888" s="77"/>
    </row>
    <row r="889">
      <c r="A889" s="76"/>
      <c r="B889" s="76"/>
      <c r="C889" s="75"/>
      <c r="D889" s="75"/>
      <c r="E889" s="76"/>
      <c r="F889" s="122"/>
      <c r="G889" s="77"/>
    </row>
    <row r="890">
      <c r="A890" s="71"/>
      <c r="B890" s="71"/>
      <c r="C890" s="72"/>
      <c r="D890" s="72"/>
      <c r="E890" s="71"/>
      <c r="F890" s="123"/>
      <c r="G890" s="73"/>
    </row>
    <row r="891">
      <c r="A891" s="76"/>
      <c r="B891" s="76"/>
      <c r="C891" s="75"/>
      <c r="D891" s="75"/>
      <c r="E891" s="76"/>
      <c r="F891" s="122"/>
      <c r="G891" s="77"/>
    </row>
    <row r="892">
      <c r="A892" s="71"/>
      <c r="B892" s="71"/>
      <c r="C892" s="72"/>
      <c r="D892" s="72"/>
      <c r="E892" s="71"/>
      <c r="F892" s="123"/>
      <c r="G892" s="73"/>
    </row>
    <row r="893">
      <c r="A893" s="76"/>
      <c r="B893" s="76"/>
      <c r="C893" s="75"/>
      <c r="D893" s="75"/>
      <c r="E893" s="76"/>
      <c r="F893" s="122"/>
      <c r="G893" s="77"/>
    </row>
    <row r="894">
      <c r="A894" s="71"/>
      <c r="B894" s="71"/>
      <c r="C894" s="72"/>
      <c r="D894" s="72"/>
      <c r="E894" s="71"/>
      <c r="F894" s="123"/>
      <c r="G894" s="73"/>
    </row>
    <row r="895">
      <c r="A895" s="76"/>
      <c r="B895" s="76"/>
      <c r="C895" s="75"/>
      <c r="D895" s="75"/>
      <c r="E895" s="76"/>
      <c r="F895" s="122"/>
      <c r="G895" s="77"/>
    </row>
    <row r="896">
      <c r="A896" s="71"/>
      <c r="B896" s="71"/>
      <c r="C896" s="72"/>
      <c r="D896" s="72"/>
      <c r="E896" s="71"/>
      <c r="F896" s="123"/>
      <c r="G896" s="73"/>
    </row>
    <row r="897">
      <c r="A897" s="76"/>
      <c r="B897" s="76"/>
      <c r="C897" s="75"/>
      <c r="D897" s="75"/>
      <c r="E897" s="76"/>
      <c r="F897" s="122"/>
      <c r="G897" s="77"/>
    </row>
    <row r="898">
      <c r="A898" s="71"/>
      <c r="B898" s="71"/>
      <c r="C898" s="72"/>
      <c r="D898" s="72"/>
      <c r="E898" s="71"/>
      <c r="F898" s="123"/>
      <c r="G898" s="73"/>
    </row>
    <row r="899">
      <c r="A899" s="76"/>
      <c r="B899" s="76"/>
      <c r="C899" s="75"/>
      <c r="D899" s="75"/>
      <c r="E899" s="76"/>
      <c r="F899" s="122"/>
      <c r="G899" s="77"/>
    </row>
    <row r="900">
      <c r="A900" s="71"/>
      <c r="B900" s="71"/>
      <c r="C900" s="72"/>
      <c r="D900" s="72"/>
      <c r="E900" s="71"/>
      <c r="F900" s="123"/>
      <c r="G900" s="73"/>
    </row>
    <row r="901">
      <c r="A901" s="76"/>
      <c r="B901" s="76"/>
      <c r="C901" s="75"/>
      <c r="D901" s="75"/>
      <c r="E901" s="76"/>
      <c r="F901" s="122"/>
      <c r="G901" s="77"/>
    </row>
    <row r="902">
      <c r="A902" s="71"/>
      <c r="B902" s="71"/>
      <c r="C902" s="72"/>
      <c r="D902" s="72"/>
      <c r="E902" s="71"/>
      <c r="F902" s="123"/>
      <c r="G902" s="73"/>
    </row>
    <row r="903">
      <c r="A903" s="71"/>
      <c r="B903" s="78"/>
      <c r="C903" s="72"/>
      <c r="D903" s="72"/>
      <c r="E903" s="71"/>
      <c r="F903" s="123"/>
      <c r="G903" s="73"/>
    </row>
    <row r="904">
      <c r="A904" s="76"/>
      <c r="B904" s="76"/>
      <c r="C904" s="75"/>
      <c r="D904" s="75"/>
      <c r="E904" s="76"/>
      <c r="F904" s="122"/>
      <c r="G904" s="77"/>
    </row>
    <row r="905">
      <c r="A905" s="71"/>
      <c r="B905" s="71"/>
      <c r="C905" s="72"/>
      <c r="D905" s="72"/>
      <c r="E905" s="71"/>
      <c r="F905" s="123"/>
      <c r="G905" s="73"/>
    </row>
    <row r="906">
      <c r="A906" s="76"/>
      <c r="B906" s="76"/>
      <c r="C906" s="75"/>
      <c r="D906" s="75"/>
      <c r="E906" s="76"/>
      <c r="F906" s="122"/>
      <c r="G906" s="77"/>
    </row>
    <row r="907">
      <c r="A907" s="71"/>
      <c r="B907" s="78"/>
      <c r="C907" s="72"/>
      <c r="D907" s="72"/>
      <c r="E907" s="71"/>
      <c r="F907" s="123"/>
      <c r="G907" s="73"/>
    </row>
    <row r="908">
      <c r="A908" s="71"/>
      <c r="B908" s="78"/>
      <c r="C908" s="72"/>
      <c r="D908" s="72"/>
      <c r="E908" s="71"/>
      <c r="F908" s="123"/>
      <c r="G908" s="73"/>
    </row>
    <row r="909">
      <c r="A909" s="76"/>
      <c r="B909" s="76"/>
      <c r="C909" s="75"/>
      <c r="D909" s="76"/>
      <c r="E909" s="76"/>
      <c r="F909" s="122"/>
      <c r="G909" s="77"/>
    </row>
    <row r="910">
      <c r="A910" s="71"/>
      <c r="B910" s="71"/>
      <c r="C910" s="72"/>
      <c r="D910" s="76"/>
      <c r="E910" s="71"/>
      <c r="F910" s="123"/>
      <c r="G910" s="73"/>
    </row>
    <row r="911">
      <c r="A911" s="76"/>
      <c r="B911" s="76"/>
      <c r="C911" s="75"/>
      <c r="D911" s="76"/>
      <c r="E911" s="76"/>
      <c r="F911" s="122"/>
      <c r="G911" s="77"/>
    </row>
    <row r="912">
      <c r="A912" s="53"/>
      <c r="B912" s="53"/>
      <c r="C912" s="54"/>
      <c r="D912" s="54"/>
      <c r="E912" s="55"/>
      <c r="F912" s="63"/>
      <c r="G912" s="56"/>
    </row>
    <row r="913">
      <c r="A913" s="53"/>
      <c r="B913" s="53"/>
      <c r="C913" s="54"/>
      <c r="D913" s="54"/>
      <c r="E913" s="55"/>
      <c r="F913" s="63"/>
      <c r="G913" s="56"/>
    </row>
    <row r="914">
      <c r="A914" s="53"/>
      <c r="B914" s="53"/>
      <c r="C914" s="54"/>
      <c r="D914" s="54"/>
      <c r="E914" s="55"/>
      <c r="F914" s="63"/>
      <c r="G914" s="56"/>
    </row>
    <row r="915">
      <c r="A915" s="53"/>
      <c r="B915" s="53"/>
      <c r="C915" s="54"/>
      <c r="D915" s="54"/>
      <c r="E915" s="55"/>
      <c r="F915" s="63"/>
      <c r="G915" s="56"/>
    </row>
    <row r="916">
      <c r="A916" s="53"/>
      <c r="B916" s="53"/>
      <c r="C916" s="54"/>
      <c r="D916" s="54"/>
      <c r="E916" s="55"/>
      <c r="F916" s="63"/>
      <c r="G916" s="56"/>
    </row>
    <row r="917">
      <c r="A917" s="53"/>
      <c r="B917" s="53"/>
      <c r="C917" s="54"/>
      <c r="D917" s="54"/>
      <c r="E917" s="55"/>
      <c r="F917" s="63"/>
      <c r="G917" s="56"/>
    </row>
    <row r="918">
      <c r="A918" s="53"/>
      <c r="B918" s="53"/>
      <c r="C918" s="54"/>
      <c r="D918" s="54"/>
      <c r="E918" s="55"/>
      <c r="F918" s="63"/>
      <c r="G918" s="56"/>
    </row>
    <row r="919">
      <c r="A919" s="53"/>
      <c r="B919" s="53"/>
      <c r="C919" s="54"/>
      <c r="D919" s="54"/>
      <c r="E919" s="55"/>
      <c r="F919" s="63"/>
      <c r="G919" s="56"/>
    </row>
    <row r="920">
      <c r="A920" s="53"/>
      <c r="B920" s="53"/>
      <c r="C920" s="54"/>
      <c r="D920" s="54"/>
      <c r="E920" s="55"/>
      <c r="F920" s="63"/>
      <c r="G920" s="56"/>
    </row>
    <row r="921">
      <c r="A921" s="53"/>
      <c r="B921" s="53"/>
      <c r="C921" s="54"/>
      <c r="D921" s="54"/>
      <c r="E921" s="55"/>
      <c r="F921" s="63"/>
      <c r="G921" s="56"/>
    </row>
    <row r="922">
      <c r="A922" s="53"/>
      <c r="B922" s="53"/>
      <c r="C922" s="54"/>
      <c r="D922" s="62"/>
      <c r="E922" s="55"/>
      <c r="F922" s="63"/>
      <c r="G922" s="56"/>
    </row>
    <row r="923">
      <c r="A923" s="53"/>
      <c r="B923" s="53"/>
      <c r="C923" s="54"/>
      <c r="D923" s="62"/>
      <c r="E923" s="55"/>
      <c r="F923" s="63"/>
      <c r="G923" s="56"/>
    </row>
    <row r="924">
      <c r="A924" s="53"/>
      <c r="B924" s="53"/>
      <c r="C924" s="54"/>
      <c r="D924" s="62"/>
      <c r="E924" s="55"/>
      <c r="F924" s="63"/>
      <c r="G924" s="56"/>
    </row>
    <row r="925">
      <c r="A925" s="53"/>
      <c r="B925" s="53"/>
      <c r="C925" s="54"/>
      <c r="D925" s="62"/>
      <c r="E925" s="55"/>
      <c r="F925" s="63"/>
      <c r="G925" s="56"/>
    </row>
    <row r="926">
      <c r="A926" s="53"/>
      <c r="B926" s="53"/>
      <c r="C926" s="54"/>
      <c r="D926" s="62"/>
      <c r="E926" s="55"/>
      <c r="F926" s="63"/>
      <c r="G926" s="56"/>
    </row>
    <row r="927">
      <c r="A927" s="53"/>
      <c r="B927" s="53"/>
      <c r="C927" s="54"/>
      <c r="D927" s="62"/>
      <c r="E927" s="55"/>
      <c r="F927" s="63"/>
      <c r="G927" s="56"/>
    </row>
  </sheetData>
  <dataValidations>
    <dataValidation type="list" allowBlank="1" sqref="F3:F49">
      <formula1>"OPEN,BLOCKED,PASSED,FAILED"</formula1>
    </dataValidation>
    <dataValidation type="list" allowBlank="1" sqref="F50:F65">
      <formula1>"OPEN,BLOCKED,PASSED,FAILED,REQUEST"</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75"/>
    <col customWidth="1" min="2" max="2" width="61.13"/>
    <col customWidth="1" min="3" max="3" width="50.13"/>
    <col customWidth="1" min="4" max="4" width="48.38"/>
    <col customWidth="1" min="5" max="5" width="56.63"/>
    <col customWidth="1" min="6" max="6" width="21.63"/>
    <col customWidth="1" min="7" max="7" width="22.75"/>
  </cols>
  <sheetData>
    <row r="1">
      <c r="A1" s="47" t="s">
        <v>42</v>
      </c>
      <c r="B1" s="97" t="s">
        <v>687</v>
      </c>
      <c r="C1" s="49"/>
      <c r="D1" s="49"/>
      <c r="E1" s="49"/>
      <c r="F1" s="98"/>
      <c r="G1" s="49"/>
    </row>
    <row r="2">
      <c r="A2" s="51" t="s">
        <v>14</v>
      </c>
      <c r="B2" s="51" t="s">
        <v>16</v>
      </c>
      <c r="C2" s="52" t="s">
        <v>18</v>
      </c>
      <c r="D2" s="52" t="s">
        <v>20</v>
      </c>
      <c r="E2" s="52" t="s">
        <v>219</v>
      </c>
      <c r="F2" s="52" t="s">
        <v>24</v>
      </c>
      <c r="G2" s="52" t="s">
        <v>26</v>
      </c>
    </row>
    <row r="3">
      <c r="A3" s="53" t="str">
        <f t="shared" ref="A3:A74" si="1">IF(B1&lt;&gt;"", "US-13-TC-" &amp; TEXT(COUNTA($B$3:B3), "00"), "")
</f>
        <v>US-13-TC-01</v>
      </c>
      <c r="B3" s="53" t="s">
        <v>688</v>
      </c>
      <c r="C3" s="54" t="s">
        <v>331</v>
      </c>
      <c r="D3" s="54" t="s">
        <v>689</v>
      </c>
      <c r="E3" s="55" t="s">
        <v>690</v>
      </c>
      <c r="F3" s="55" t="s">
        <v>50</v>
      </c>
      <c r="G3" s="55"/>
    </row>
    <row r="4">
      <c r="A4" s="53" t="str">
        <f t="shared" si="1"/>
        <v>US-13-TC-02</v>
      </c>
      <c r="B4" s="99" t="s">
        <v>691</v>
      </c>
      <c r="C4" s="54" t="s">
        <v>331</v>
      </c>
      <c r="D4" s="54" t="s">
        <v>689</v>
      </c>
      <c r="E4" s="55" t="s">
        <v>690</v>
      </c>
      <c r="F4" s="55" t="s">
        <v>50</v>
      </c>
      <c r="G4" s="55"/>
    </row>
    <row r="5">
      <c r="A5" s="53" t="str">
        <f t="shared" si="1"/>
        <v>US-13-TC-03</v>
      </c>
      <c r="B5" s="125" t="s">
        <v>692</v>
      </c>
      <c r="C5" s="54" t="s">
        <v>331</v>
      </c>
      <c r="D5" s="54" t="s">
        <v>689</v>
      </c>
      <c r="E5" s="55" t="s">
        <v>690</v>
      </c>
      <c r="F5" s="55" t="s">
        <v>50</v>
      </c>
      <c r="G5" s="55"/>
    </row>
    <row r="6">
      <c r="A6" s="53" t="str">
        <f t="shared" si="1"/>
        <v>US-13-TC-04</v>
      </c>
      <c r="B6" s="125" t="s">
        <v>693</v>
      </c>
      <c r="C6" s="54" t="s">
        <v>331</v>
      </c>
      <c r="D6" s="54" t="s">
        <v>689</v>
      </c>
      <c r="E6" s="55" t="s">
        <v>690</v>
      </c>
      <c r="F6" s="55" t="s">
        <v>50</v>
      </c>
      <c r="G6" s="55"/>
    </row>
    <row r="7">
      <c r="A7" s="53" t="str">
        <f t="shared" si="1"/>
        <v>US-13-TC-05</v>
      </c>
      <c r="B7" s="125" t="s">
        <v>694</v>
      </c>
      <c r="C7" s="54" t="s">
        <v>331</v>
      </c>
      <c r="D7" s="54" t="s">
        <v>689</v>
      </c>
      <c r="E7" s="55" t="s">
        <v>690</v>
      </c>
      <c r="F7" s="55" t="s">
        <v>50</v>
      </c>
      <c r="G7" s="55"/>
    </row>
    <row r="8">
      <c r="A8" s="53" t="str">
        <f t="shared" si="1"/>
        <v>US-13-TC-06</v>
      </c>
      <c r="B8" s="125" t="s">
        <v>695</v>
      </c>
      <c r="C8" s="54" t="s">
        <v>331</v>
      </c>
      <c r="D8" s="54" t="s">
        <v>689</v>
      </c>
      <c r="E8" s="55" t="s">
        <v>690</v>
      </c>
      <c r="F8" s="55" t="s">
        <v>50</v>
      </c>
      <c r="G8" s="55"/>
    </row>
    <row r="9">
      <c r="A9" s="53" t="str">
        <f t="shared" si="1"/>
        <v>US-13-TC-07</v>
      </c>
      <c r="B9" s="125" t="s">
        <v>696</v>
      </c>
      <c r="C9" s="54" t="s">
        <v>331</v>
      </c>
      <c r="D9" s="54" t="s">
        <v>689</v>
      </c>
      <c r="E9" s="55" t="s">
        <v>690</v>
      </c>
      <c r="F9" s="55" t="s">
        <v>50</v>
      </c>
      <c r="G9" s="55"/>
    </row>
    <row r="10">
      <c r="A10" s="53" t="str">
        <f t="shared" si="1"/>
        <v>US-13-TC-08</v>
      </c>
      <c r="B10" s="125" t="s">
        <v>697</v>
      </c>
      <c r="C10" s="54" t="s">
        <v>331</v>
      </c>
      <c r="D10" s="54" t="s">
        <v>689</v>
      </c>
      <c r="E10" s="55" t="s">
        <v>690</v>
      </c>
      <c r="F10" s="55" t="s">
        <v>50</v>
      </c>
      <c r="G10" s="55"/>
    </row>
    <row r="11">
      <c r="A11" s="53" t="str">
        <f t="shared" si="1"/>
        <v>US-13-TC-09</v>
      </c>
      <c r="B11" s="125" t="s">
        <v>698</v>
      </c>
      <c r="C11" s="54" t="s">
        <v>331</v>
      </c>
      <c r="D11" s="54" t="s">
        <v>689</v>
      </c>
      <c r="E11" s="55" t="s">
        <v>690</v>
      </c>
      <c r="F11" s="55" t="s">
        <v>50</v>
      </c>
      <c r="G11" s="55"/>
    </row>
    <row r="12">
      <c r="A12" s="53" t="str">
        <f t="shared" si="1"/>
        <v>US-13-TC-10</v>
      </c>
      <c r="B12" s="53" t="s">
        <v>334</v>
      </c>
      <c r="C12" s="54" t="s">
        <v>331</v>
      </c>
      <c r="D12" s="54" t="s">
        <v>332</v>
      </c>
      <c r="E12" s="55" t="s">
        <v>333</v>
      </c>
      <c r="F12" s="55" t="s">
        <v>50</v>
      </c>
      <c r="G12" s="55"/>
    </row>
    <row r="13">
      <c r="A13" s="53" t="str">
        <f t="shared" si="1"/>
        <v>US-13-TC-11</v>
      </c>
      <c r="B13" s="53" t="s">
        <v>335</v>
      </c>
      <c r="C13" s="54" t="s">
        <v>331</v>
      </c>
      <c r="D13" s="54" t="s">
        <v>332</v>
      </c>
      <c r="E13" s="55" t="s">
        <v>333</v>
      </c>
      <c r="F13" s="55" t="s">
        <v>50</v>
      </c>
      <c r="G13" s="56"/>
    </row>
    <row r="14">
      <c r="A14" s="53" t="str">
        <f t="shared" si="1"/>
        <v>US-13-TC-12</v>
      </c>
      <c r="B14" s="53" t="s">
        <v>588</v>
      </c>
      <c r="C14" s="54" t="s">
        <v>331</v>
      </c>
      <c r="D14" s="54" t="s">
        <v>332</v>
      </c>
      <c r="E14" s="55" t="s">
        <v>337</v>
      </c>
      <c r="F14" s="55" t="s">
        <v>50</v>
      </c>
      <c r="G14" s="56"/>
    </row>
    <row r="15">
      <c r="A15" s="53" t="str">
        <f t="shared" si="1"/>
        <v>US-13-TC-13</v>
      </c>
      <c r="B15" s="53" t="s">
        <v>490</v>
      </c>
      <c r="C15" s="54" t="s">
        <v>331</v>
      </c>
      <c r="D15" s="54" t="s">
        <v>332</v>
      </c>
      <c r="E15" s="55" t="s">
        <v>339</v>
      </c>
      <c r="F15" s="55" t="s">
        <v>50</v>
      </c>
      <c r="G15" s="56"/>
    </row>
    <row r="16">
      <c r="A16" s="53" t="str">
        <f t="shared" si="1"/>
        <v>US-13-TC-14</v>
      </c>
      <c r="B16" s="53" t="s">
        <v>491</v>
      </c>
      <c r="C16" s="54" t="s">
        <v>331</v>
      </c>
      <c r="D16" s="54" t="s">
        <v>332</v>
      </c>
      <c r="E16" s="55" t="s">
        <v>341</v>
      </c>
      <c r="F16" s="55" t="s">
        <v>50</v>
      </c>
      <c r="G16" s="56"/>
    </row>
    <row r="17">
      <c r="A17" s="53" t="str">
        <f t="shared" si="1"/>
        <v>US-13-TC-15</v>
      </c>
      <c r="B17" s="53" t="s">
        <v>342</v>
      </c>
      <c r="C17" s="54" t="s">
        <v>331</v>
      </c>
      <c r="D17" s="54" t="s">
        <v>332</v>
      </c>
      <c r="E17" s="55" t="s">
        <v>343</v>
      </c>
      <c r="F17" s="55" t="s">
        <v>50</v>
      </c>
      <c r="G17" s="56"/>
    </row>
    <row r="18">
      <c r="A18" s="53" t="str">
        <f t="shared" si="1"/>
        <v>US-13-TC-16</v>
      </c>
      <c r="B18" s="64" t="s">
        <v>344</v>
      </c>
      <c r="C18" s="54" t="s">
        <v>331</v>
      </c>
      <c r="D18" s="54" t="s">
        <v>332</v>
      </c>
      <c r="E18" s="55" t="s">
        <v>345</v>
      </c>
      <c r="F18" s="55" t="s">
        <v>50</v>
      </c>
      <c r="G18" s="56"/>
    </row>
    <row r="19">
      <c r="A19" s="53" t="str">
        <f t="shared" si="1"/>
        <v>US-13-TC-17</v>
      </c>
      <c r="B19" s="53" t="s">
        <v>346</v>
      </c>
      <c r="C19" s="54" t="s">
        <v>331</v>
      </c>
      <c r="D19" s="54" t="s">
        <v>332</v>
      </c>
      <c r="E19" s="55" t="s">
        <v>347</v>
      </c>
      <c r="F19" s="55" t="s">
        <v>50</v>
      </c>
      <c r="G19" s="56"/>
    </row>
    <row r="20">
      <c r="A20" s="53" t="str">
        <f t="shared" si="1"/>
        <v>US-13-TC-18</v>
      </c>
      <c r="B20" s="53" t="s">
        <v>348</v>
      </c>
      <c r="C20" s="54" t="s">
        <v>331</v>
      </c>
      <c r="D20" s="54" t="s">
        <v>332</v>
      </c>
      <c r="E20" s="55" t="s">
        <v>349</v>
      </c>
      <c r="F20" s="55" t="s">
        <v>50</v>
      </c>
      <c r="G20" s="56"/>
    </row>
    <row r="21">
      <c r="A21" s="53" t="str">
        <f t="shared" si="1"/>
        <v>US-13-TC-19</v>
      </c>
      <c r="B21" s="53" t="s">
        <v>507</v>
      </c>
      <c r="C21" s="54" t="s">
        <v>331</v>
      </c>
      <c r="D21" s="62" t="s">
        <v>508</v>
      </c>
      <c r="E21" s="55" t="s">
        <v>509</v>
      </c>
      <c r="F21" s="55" t="s">
        <v>50</v>
      </c>
      <c r="G21" s="56"/>
    </row>
    <row r="22">
      <c r="A22" s="53" t="str">
        <f t="shared" si="1"/>
        <v>US-13-TC-20</v>
      </c>
      <c r="B22" s="53" t="s">
        <v>510</v>
      </c>
      <c r="C22" s="54" t="s">
        <v>331</v>
      </c>
      <c r="D22" s="62" t="s">
        <v>508</v>
      </c>
      <c r="E22" s="55" t="s">
        <v>509</v>
      </c>
      <c r="F22" s="55" t="s">
        <v>50</v>
      </c>
      <c r="G22" s="56"/>
    </row>
    <row r="23">
      <c r="A23" s="53" t="str">
        <f t="shared" si="1"/>
        <v>US-13-TC-21</v>
      </c>
      <c r="B23" s="53" t="s">
        <v>511</v>
      </c>
      <c r="C23" s="54" t="s">
        <v>331</v>
      </c>
      <c r="D23" s="62" t="s">
        <v>508</v>
      </c>
      <c r="E23" s="55" t="s">
        <v>512</v>
      </c>
      <c r="F23" s="55" t="s">
        <v>50</v>
      </c>
      <c r="G23" s="56"/>
    </row>
    <row r="24">
      <c r="A24" s="53" t="str">
        <f t="shared" si="1"/>
        <v>US-13-TC-22</v>
      </c>
      <c r="B24" s="53" t="s">
        <v>513</v>
      </c>
      <c r="C24" s="54" t="s">
        <v>331</v>
      </c>
      <c r="D24" s="62" t="s">
        <v>508</v>
      </c>
      <c r="E24" s="55" t="s">
        <v>514</v>
      </c>
      <c r="F24" s="55" t="s">
        <v>50</v>
      </c>
      <c r="G24" s="56"/>
    </row>
    <row r="25">
      <c r="A25" s="53" t="str">
        <f t="shared" si="1"/>
        <v>US-13-TC-23</v>
      </c>
      <c r="B25" s="53" t="s">
        <v>515</v>
      </c>
      <c r="C25" s="54" t="s">
        <v>331</v>
      </c>
      <c r="D25" s="62" t="s">
        <v>508</v>
      </c>
      <c r="E25" s="55" t="s">
        <v>509</v>
      </c>
      <c r="F25" s="55" t="s">
        <v>50</v>
      </c>
      <c r="G25" s="56"/>
    </row>
    <row r="26">
      <c r="A26" s="53" t="str">
        <f t="shared" si="1"/>
        <v>US-13-TC-24</v>
      </c>
      <c r="B26" s="53" t="s">
        <v>516</v>
      </c>
      <c r="C26" s="54" t="s">
        <v>331</v>
      </c>
      <c r="D26" s="62" t="s">
        <v>508</v>
      </c>
      <c r="E26" s="55" t="s">
        <v>517</v>
      </c>
      <c r="F26" s="55" t="s">
        <v>50</v>
      </c>
      <c r="G26" s="56"/>
    </row>
    <row r="27">
      <c r="A27" s="53" t="str">
        <f t="shared" si="1"/>
        <v>US-13-TC-25</v>
      </c>
      <c r="B27" s="53" t="s">
        <v>518</v>
      </c>
      <c r="C27" s="54" t="s">
        <v>331</v>
      </c>
      <c r="D27" s="62" t="s">
        <v>508</v>
      </c>
      <c r="E27" s="55" t="s">
        <v>519</v>
      </c>
      <c r="F27" s="55" t="s">
        <v>50</v>
      </c>
      <c r="G27" s="56"/>
    </row>
    <row r="28">
      <c r="A28" s="53" t="str">
        <f t="shared" si="1"/>
        <v>US-13-TC-26</v>
      </c>
      <c r="B28" s="53" t="s">
        <v>520</v>
      </c>
      <c r="C28" s="54" t="s">
        <v>331</v>
      </c>
      <c r="D28" s="62" t="s">
        <v>508</v>
      </c>
      <c r="E28" s="55" t="s">
        <v>509</v>
      </c>
      <c r="F28" s="55" t="s">
        <v>50</v>
      </c>
      <c r="G28" s="56"/>
    </row>
    <row r="29">
      <c r="A29" s="53" t="str">
        <f t="shared" si="1"/>
        <v>US-13-TC-27</v>
      </c>
      <c r="B29" s="53" t="s">
        <v>521</v>
      </c>
      <c r="C29" s="54" t="s">
        <v>331</v>
      </c>
      <c r="D29" s="62" t="s">
        <v>508</v>
      </c>
      <c r="E29" s="55" t="s">
        <v>522</v>
      </c>
      <c r="F29" s="55" t="s">
        <v>50</v>
      </c>
      <c r="G29" s="56"/>
    </row>
    <row r="30">
      <c r="A30" s="53" t="str">
        <f t="shared" si="1"/>
        <v>US-13-TC-28</v>
      </c>
      <c r="B30" s="53" t="s">
        <v>523</v>
      </c>
      <c r="C30" s="54" t="s">
        <v>331</v>
      </c>
      <c r="D30" s="62" t="s">
        <v>508</v>
      </c>
      <c r="E30" s="55" t="s">
        <v>524</v>
      </c>
      <c r="F30" s="55" t="s">
        <v>50</v>
      </c>
      <c r="G30" s="56"/>
    </row>
    <row r="31">
      <c r="A31" s="53" t="str">
        <f t="shared" si="1"/>
        <v>US-13-TC-29</v>
      </c>
      <c r="B31" s="53" t="s">
        <v>525</v>
      </c>
      <c r="C31" s="54" t="s">
        <v>331</v>
      </c>
      <c r="D31" s="62" t="s">
        <v>508</v>
      </c>
      <c r="E31" s="55" t="s">
        <v>509</v>
      </c>
      <c r="F31" s="55" t="s">
        <v>50</v>
      </c>
      <c r="G31" s="56"/>
    </row>
    <row r="32">
      <c r="A32" s="53" t="str">
        <f t="shared" si="1"/>
        <v>US-13-TC-30</v>
      </c>
      <c r="B32" s="53" t="s">
        <v>533</v>
      </c>
      <c r="C32" s="54" t="s">
        <v>331</v>
      </c>
      <c r="D32" s="62" t="s">
        <v>508</v>
      </c>
      <c r="E32" s="55" t="s">
        <v>509</v>
      </c>
      <c r="F32" s="55" t="s">
        <v>50</v>
      </c>
      <c r="G32" s="56"/>
    </row>
    <row r="33">
      <c r="A33" s="53" t="str">
        <f t="shared" si="1"/>
        <v>US-13-TC-31</v>
      </c>
      <c r="B33" s="53" t="s">
        <v>541</v>
      </c>
      <c r="C33" s="54" t="s">
        <v>331</v>
      </c>
      <c r="D33" s="62" t="s">
        <v>508</v>
      </c>
      <c r="E33" s="55" t="s">
        <v>509</v>
      </c>
      <c r="F33" s="55" t="s">
        <v>50</v>
      </c>
      <c r="G33" s="56"/>
    </row>
    <row r="34">
      <c r="A34" s="53" t="str">
        <f t="shared" si="1"/>
        <v>US-13-TC-32</v>
      </c>
      <c r="B34" s="64" t="s">
        <v>554</v>
      </c>
      <c r="C34" s="54" t="s">
        <v>331</v>
      </c>
      <c r="D34" s="62" t="s">
        <v>508</v>
      </c>
      <c r="E34" s="55" t="s">
        <v>509</v>
      </c>
      <c r="F34" s="55" t="s">
        <v>50</v>
      </c>
      <c r="G34" s="56"/>
    </row>
    <row r="35">
      <c r="A35" s="53" t="str">
        <f t="shared" si="1"/>
        <v>US-13-TC-33</v>
      </c>
      <c r="B35" s="53" t="s">
        <v>555</v>
      </c>
      <c r="C35" s="54" t="s">
        <v>331</v>
      </c>
      <c r="D35" s="62" t="s">
        <v>508</v>
      </c>
      <c r="E35" s="55" t="s">
        <v>556</v>
      </c>
      <c r="F35" s="55" t="s">
        <v>50</v>
      </c>
      <c r="G35" s="56"/>
    </row>
    <row r="36">
      <c r="A36" s="53" t="str">
        <f t="shared" si="1"/>
        <v>US-13-TC-34</v>
      </c>
      <c r="B36" s="64" t="s">
        <v>557</v>
      </c>
      <c r="C36" s="54" t="s">
        <v>331</v>
      </c>
      <c r="D36" s="62" t="s">
        <v>508</v>
      </c>
      <c r="E36" s="55" t="s">
        <v>558</v>
      </c>
      <c r="F36" s="55" t="s">
        <v>50</v>
      </c>
      <c r="G36" s="56"/>
    </row>
    <row r="37">
      <c r="A37" s="53" t="str">
        <f t="shared" si="1"/>
        <v>US-13-TC-35</v>
      </c>
      <c r="B37" s="53" t="s">
        <v>559</v>
      </c>
      <c r="C37" s="54" t="s">
        <v>331</v>
      </c>
      <c r="D37" s="62" t="s">
        <v>508</v>
      </c>
      <c r="E37" s="55" t="s">
        <v>509</v>
      </c>
      <c r="F37" s="55" t="s">
        <v>50</v>
      </c>
      <c r="G37" s="56"/>
    </row>
    <row r="38">
      <c r="A38" s="53" t="str">
        <f t="shared" si="1"/>
        <v>US-13-TC-36</v>
      </c>
      <c r="B38" s="53" t="s">
        <v>560</v>
      </c>
      <c r="C38" s="54" t="s">
        <v>331</v>
      </c>
      <c r="D38" s="62" t="s">
        <v>508</v>
      </c>
      <c r="E38" s="55" t="s">
        <v>561</v>
      </c>
      <c r="F38" s="55" t="s">
        <v>50</v>
      </c>
      <c r="G38" s="56"/>
    </row>
    <row r="39">
      <c r="A39" s="53" t="str">
        <f t="shared" si="1"/>
        <v>US-13-TC-37</v>
      </c>
      <c r="B39" s="53" t="s">
        <v>562</v>
      </c>
      <c r="C39" s="54" t="s">
        <v>331</v>
      </c>
      <c r="D39" s="62" t="s">
        <v>508</v>
      </c>
      <c r="E39" s="55" t="s">
        <v>563</v>
      </c>
      <c r="F39" s="55" t="s">
        <v>50</v>
      </c>
      <c r="G39" s="56"/>
    </row>
    <row r="40">
      <c r="A40" s="53" t="str">
        <f t="shared" si="1"/>
        <v>US-13-TC-38</v>
      </c>
      <c r="B40" s="53" t="s">
        <v>564</v>
      </c>
      <c r="C40" s="54" t="s">
        <v>331</v>
      </c>
      <c r="D40" s="62" t="s">
        <v>508</v>
      </c>
      <c r="E40" s="55" t="s">
        <v>509</v>
      </c>
      <c r="F40" s="55" t="s">
        <v>50</v>
      </c>
      <c r="G40" s="56"/>
    </row>
    <row r="41">
      <c r="A41" s="53" t="str">
        <f t="shared" si="1"/>
        <v>US-13-TC-39</v>
      </c>
      <c r="B41" s="53" t="s">
        <v>565</v>
      </c>
      <c r="C41" s="54" t="s">
        <v>331</v>
      </c>
      <c r="D41" s="62" t="s">
        <v>508</v>
      </c>
      <c r="E41" s="55" t="s">
        <v>566</v>
      </c>
      <c r="F41" s="55" t="s">
        <v>50</v>
      </c>
      <c r="G41" s="56"/>
    </row>
    <row r="42">
      <c r="A42" s="53" t="str">
        <f t="shared" si="1"/>
        <v>US-13-TC-40</v>
      </c>
      <c r="B42" s="53" t="s">
        <v>567</v>
      </c>
      <c r="C42" s="54" t="s">
        <v>331</v>
      </c>
      <c r="D42" s="62" t="s">
        <v>508</v>
      </c>
      <c r="E42" s="55" t="s">
        <v>568</v>
      </c>
      <c r="F42" s="55" t="s">
        <v>50</v>
      </c>
      <c r="G42" s="56"/>
    </row>
    <row r="43">
      <c r="A43" s="53" t="str">
        <f t="shared" si="1"/>
        <v>US-13-TC-41</v>
      </c>
      <c r="B43" s="53" t="s">
        <v>528</v>
      </c>
      <c r="C43" s="54" t="s">
        <v>331</v>
      </c>
      <c r="D43" s="62" t="s">
        <v>508</v>
      </c>
      <c r="E43" s="55" t="s">
        <v>509</v>
      </c>
      <c r="F43" s="55" t="s">
        <v>50</v>
      </c>
      <c r="G43" s="56"/>
    </row>
    <row r="44">
      <c r="A44" s="53" t="str">
        <f t="shared" si="1"/>
        <v>US-13-TC-42</v>
      </c>
      <c r="B44" s="53" t="s">
        <v>529</v>
      </c>
      <c r="C44" s="54" t="s">
        <v>331</v>
      </c>
      <c r="D44" s="62" t="s">
        <v>508</v>
      </c>
      <c r="E44" s="55" t="s">
        <v>530</v>
      </c>
      <c r="F44" s="55" t="s">
        <v>50</v>
      </c>
      <c r="G44" s="56"/>
    </row>
    <row r="45">
      <c r="A45" s="53" t="str">
        <f t="shared" si="1"/>
        <v>US-13-TC-43</v>
      </c>
      <c r="B45" s="53" t="s">
        <v>531</v>
      </c>
      <c r="C45" s="54" t="s">
        <v>331</v>
      </c>
      <c r="D45" s="62" t="s">
        <v>508</v>
      </c>
      <c r="E45" s="55" t="s">
        <v>532</v>
      </c>
      <c r="F45" s="55" t="s">
        <v>50</v>
      </c>
      <c r="G45" s="56"/>
    </row>
    <row r="46">
      <c r="A46" s="53" t="str">
        <f t="shared" si="1"/>
        <v>US-13-TC-44</v>
      </c>
      <c r="B46" s="53" t="s">
        <v>536</v>
      </c>
      <c r="C46" s="54" t="s">
        <v>331</v>
      </c>
      <c r="D46" s="62" t="s">
        <v>508</v>
      </c>
      <c r="E46" s="55" t="s">
        <v>509</v>
      </c>
      <c r="F46" s="55" t="s">
        <v>50</v>
      </c>
      <c r="G46" s="56"/>
    </row>
    <row r="47">
      <c r="A47" s="53" t="str">
        <f t="shared" si="1"/>
        <v>US-13-TC-45</v>
      </c>
      <c r="B47" s="64" t="s">
        <v>537</v>
      </c>
      <c r="C47" s="54" t="s">
        <v>331</v>
      </c>
      <c r="D47" s="62" t="s">
        <v>508</v>
      </c>
      <c r="E47" s="55" t="s">
        <v>538</v>
      </c>
      <c r="F47" s="55" t="s">
        <v>50</v>
      </c>
      <c r="G47" s="56"/>
    </row>
    <row r="48">
      <c r="A48" s="53" t="str">
        <f t="shared" si="1"/>
        <v>US-13-TC-46</v>
      </c>
      <c r="B48" s="53" t="s">
        <v>539</v>
      </c>
      <c r="C48" s="54" t="s">
        <v>331</v>
      </c>
      <c r="D48" s="62" t="s">
        <v>508</v>
      </c>
      <c r="E48" s="55" t="s">
        <v>540</v>
      </c>
      <c r="F48" s="55" t="s">
        <v>50</v>
      </c>
      <c r="G48" s="56"/>
    </row>
    <row r="49">
      <c r="A49" s="53" t="str">
        <f t="shared" si="1"/>
        <v>US-13-TC-47</v>
      </c>
      <c r="B49" s="53" t="s">
        <v>544</v>
      </c>
      <c r="C49" s="54" t="s">
        <v>331</v>
      </c>
      <c r="D49" s="62" t="s">
        <v>508</v>
      </c>
      <c r="E49" s="55" t="s">
        <v>509</v>
      </c>
      <c r="F49" s="55" t="s">
        <v>50</v>
      </c>
      <c r="G49" s="56"/>
    </row>
    <row r="50">
      <c r="A50" s="53" t="str">
        <f t="shared" si="1"/>
        <v>US-13-TC-48</v>
      </c>
      <c r="B50" s="53" t="s">
        <v>545</v>
      </c>
      <c r="C50" s="54" t="s">
        <v>331</v>
      </c>
      <c r="D50" s="62" t="s">
        <v>508</v>
      </c>
      <c r="E50" s="55" t="s">
        <v>546</v>
      </c>
      <c r="F50" s="55" t="s">
        <v>50</v>
      </c>
      <c r="G50" s="56"/>
    </row>
    <row r="51">
      <c r="A51" s="53" t="str">
        <f t="shared" si="1"/>
        <v>US-13-TC-49</v>
      </c>
      <c r="B51" s="53" t="s">
        <v>547</v>
      </c>
      <c r="C51" s="54" t="s">
        <v>331</v>
      </c>
      <c r="D51" s="62" t="s">
        <v>508</v>
      </c>
      <c r="E51" s="55" t="s">
        <v>548</v>
      </c>
      <c r="F51" s="55" t="s">
        <v>50</v>
      </c>
      <c r="G51" s="56"/>
    </row>
    <row r="52">
      <c r="A52" s="53" t="str">
        <f t="shared" si="1"/>
        <v>US-13-TC-50</v>
      </c>
      <c r="B52" s="53" t="s">
        <v>549</v>
      </c>
      <c r="C52" s="54" t="s">
        <v>331</v>
      </c>
      <c r="D52" s="62" t="s">
        <v>508</v>
      </c>
      <c r="E52" s="55" t="s">
        <v>509</v>
      </c>
      <c r="F52" s="55" t="s">
        <v>50</v>
      </c>
      <c r="G52" s="56"/>
    </row>
    <row r="53">
      <c r="A53" s="53" t="str">
        <f t="shared" si="1"/>
        <v>US-13-TC-51</v>
      </c>
      <c r="B53" s="53" t="s">
        <v>550</v>
      </c>
      <c r="C53" s="54" t="s">
        <v>331</v>
      </c>
      <c r="D53" s="62" t="s">
        <v>508</v>
      </c>
      <c r="E53" s="55" t="s">
        <v>551</v>
      </c>
      <c r="F53" s="55" t="s">
        <v>50</v>
      </c>
      <c r="G53" s="56"/>
    </row>
    <row r="54">
      <c r="A54" s="53" t="str">
        <f t="shared" si="1"/>
        <v>US-13-TC-52</v>
      </c>
      <c r="B54" s="53" t="s">
        <v>552</v>
      </c>
      <c r="C54" s="54" t="s">
        <v>331</v>
      </c>
      <c r="D54" s="62" t="s">
        <v>508</v>
      </c>
      <c r="E54" s="55" t="s">
        <v>553</v>
      </c>
      <c r="F54" s="55" t="s">
        <v>50</v>
      </c>
      <c r="G54" s="56"/>
    </row>
    <row r="55">
      <c r="A55" s="53" t="str">
        <f t="shared" si="1"/>
        <v>US-13-TC-53</v>
      </c>
      <c r="B55" s="53" t="s">
        <v>413</v>
      </c>
      <c r="C55" s="54" t="s">
        <v>331</v>
      </c>
      <c r="D55" s="62" t="s">
        <v>508</v>
      </c>
      <c r="E55" s="55" t="s">
        <v>415</v>
      </c>
      <c r="F55" s="55" t="s">
        <v>50</v>
      </c>
      <c r="G55" s="56"/>
    </row>
    <row r="56">
      <c r="A56" s="53" t="str">
        <f t="shared" si="1"/>
        <v>US-13-TC-54</v>
      </c>
      <c r="B56" s="53" t="s">
        <v>416</v>
      </c>
      <c r="C56" s="54" t="s">
        <v>331</v>
      </c>
      <c r="D56" s="62" t="s">
        <v>508</v>
      </c>
      <c r="E56" s="55" t="s">
        <v>501</v>
      </c>
      <c r="F56" s="55" t="s">
        <v>50</v>
      </c>
      <c r="G56" s="56"/>
    </row>
    <row r="57">
      <c r="A57" s="53" t="str">
        <f t="shared" si="1"/>
        <v>US-13-TC-55</v>
      </c>
      <c r="B57" s="53" t="s">
        <v>419</v>
      </c>
      <c r="C57" s="54" t="s">
        <v>331</v>
      </c>
      <c r="D57" s="62" t="s">
        <v>508</v>
      </c>
      <c r="E57" s="55" t="s">
        <v>502</v>
      </c>
      <c r="F57" s="55" t="s">
        <v>50</v>
      </c>
      <c r="G57" s="56"/>
    </row>
    <row r="58">
      <c r="A58" s="53" t="str">
        <f t="shared" si="1"/>
        <v>US-13-TC-56</v>
      </c>
      <c r="B58" s="53" t="s">
        <v>422</v>
      </c>
      <c r="C58" s="54" t="s">
        <v>331</v>
      </c>
      <c r="D58" s="62" t="s">
        <v>508</v>
      </c>
      <c r="E58" s="55" t="s">
        <v>423</v>
      </c>
      <c r="F58" s="55" t="s">
        <v>50</v>
      </c>
      <c r="G58" s="56"/>
    </row>
    <row r="59">
      <c r="A59" s="53" t="str">
        <f t="shared" si="1"/>
        <v>US-13-TC-57</v>
      </c>
      <c r="B59" s="70" t="s">
        <v>671</v>
      </c>
      <c r="C59" s="54" t="s">
        <v>331</v>
      </c>
      <c r="D59" s="70" t="s">
        <v>431</v>
      </c>
      <c r="E59" s="70" t="s">
        <v>503</v>
      </c>
      <c r="F59" s="55" t="s">
        <v>50</v>
      </c>
    </row>
    <row r="60">
      <c r="A60" s="53" t="str">
        <f t="shared" si="1"/>
        <v>US-13-TC-58</v>
      </c>
      <c r="B60" s="70" t="s">
        <v>672</v>
      </c>
      <c r="C60" s="54" t="s">
        <v>331</v>
      </c>
      <c r="D60" s="70" t="s">
        <v>431</v>
      </c>
      <c r="E60" s="70" t="s">
        <v>436</v>
      </c>
      <c r="F60" s="55" t="s">
        <v>50</v>
      </c>
    </row>
    <row r="61">
      <c r="A61" s="53" t="str">
        <f t="shared" si="1"/>
        <v>US-13-TC-59</v>
      </c>
      <c r="B61" s="70" t="s">
        <v>673</v>
      </c>
      <c r="C61" s="54" t="s">
        <v>331</v>
      </c>
      <c r="D61" s="70" t="s">
        <v>431</v>
      </c>
      <c r="E61" s="70" t="s">
        <v>503</v>
      </c>
      <c r="F61" s="55" t="s">
        <v>50</v>
      </c>
    </row>
    <row r="62">
      <c r="A62" s="53" t="str">
        <f t="shared" si="1"/>
        <v>US-13-TC-60</v>
      </c>
      <c r="B62" s="70" t="s">
        <v>674</v>
      </c>
      <c r="C62" s="54" t="s">
        <v>331</v>
      </c>
      <c r="D62" s="70" t="s">
        <v>431</v>
      </c>
      <c r="E62" s="70" t="s">
        <v>436</v>
      </c>
      <c r="F62" s="55" t="s">
        <v>50</v>
      </c>
    </row>
    <row r="63">
      <c r="A63" s="53" t="str">
        <f t="shared" si="1"/>
        <v>US-13-TC-61</v>
      </c>
      <c r="B63" s="70" t="s">
        <v>675</v>
      </c>
      <c r="C63" s="54" t="s">
        <v>331</v>
      </c>
      <c r="D63" s="70" t="s">
        <v>431</v>
      </c>
      <c r="E63" s="70" t="s">
        <v>503</v>
      </c>
      <c r="F63" s="55" t="s">
        <v>50</v>
      </c>
    </row>
    <row r="64">
      <c r="A64" s="53" t="str">
        <f t="shared" si="1"/>
        <v>US-13-TC-62</v>
      </c>
      <c r="B64" s="70" t="s">
        <v>676</v>
      </c>
      <c r="C64" s="54" t="s">
        <v>331</v>
      </c>
      <c r="D64" s="70" t="s">
        <v>431</v>
      </c>
      <c r="E64" s="70" t="s">
        <v>436</v>
      </c>
      <c r="F64" s="55" t="s">
        <v>50</v>
      </c>
    </row>
    <row r="65">
      <c r="A65" s="53" t="str">
        <f t="shared" si="1"/>
        <v>US-13-TC-63</v>
      </c>
      <c r="B65" s="70" t="s">
        <v>677</v>
      </c>
      <c r="C65" s="54" t="s">
        <v>331</v>
      </c>
      <c r="D65" s="70" t="s">
        <v>431</v>
      </c>
      <c r="E65" s="70" t="s">
        <v>503</v>
      </c>
      <c r="F65" s="55" t="s">
        <v>50</v>
      </c>
    </row>
    <row r="66">
      <c r="A66" s="53" t="str">
        <f t="shared" si="1"/>
        <v>US-13-TC-64</v>
      </c>
      <c r="B66" s="70" t="s">
        <v>678</v>
      </c>
      <c r="C66" s="54" t="s">
        <v>331</v>
      </c>
      <c r="D66" s="70" t="s">
        <v>431</v>
      </c>
      <c r="E66" s="70" t="s">
        <v>436</v>
      </c>
      <c r="F66" s="55" t="s">
        <v>50</v>
      </c>
    </row>
    <row r="67">
      <c r="A67" s="53" t="str">
        <f t="shared" si="1"/>
        <v>US-13-TC-65</v>
      </c>
      <c r="B67" s="70" t="s">
        <v>642</v>
      </c>
      <c r="C67" s="54" t="s">
        <v>331</v>
      </c>
      <c r="D67" s="70" t="s">
        <v>431</v>
      </c>
      <c r="E67" s="70" t="s">
        <v>503</v>
      </c>
      <c r="F67" s="55" t="s">
        <v>50</v>
      </c>
    </row>
    <row r="68">
      <c r="A68" s="53" t="str">
        <f t="shared" si="1"/>
        <v>US-13-TC-66</v>
      </c>
      <c r="B68" s="70" t="s">
        <v>680</v>
      </c>
      <c r="C68" s="54" t="s">
        <v>331</v>
      </c>
      <c r="D68" s="70" t="s">
        <v>431</v>
      </c>
      <c r="E68" s="70" t="s">
        <v>436</v>
      </c>
      <c r="F68" s="55" t="s">
        <v>50</v>
      </c>
    </row>
    <row r="69">
      <c r="A69" s="53" t="str">
        <f t="shared" si="1"/>
        <v>US-13-TC-67</v>
      </c>
      <c r="B69" s="70" t="s">
        <v>681</v>
      </c>
      <c r="C69" s="54" t="s">
        <v>331</v>
      </c>
      <c r="D69" s="70" t="s">
        <v>431</v>
      </c>
      <c r="E69" s="70" t="s">
        <v>503</v>
      </c>
      <c r="F69" s="55" t="s">
        <v>50</v>
      </c>
    </row>
    <row r="70">
      <c r="A70" s="53" t="str">
        <f t="shared" si="1"/>
        <v>US-13-TC-68</v>
      </c>
      <c r="B70" s="70" t="s">
        <v>682</v>
      </c>
      <c r="C70" s="54" t="s">
        <v>331</v>
      </c>
      <c r="D70" s="70" t="s">
        <v>431</v>
      </c>
      <c r="E70" s="70" t="s">
        <v>436</v>
      </c>
      <c r="F70" s="55" t="s">
        <v>50</v>
      </c>
    </row>
    <row r="71">
      <c r="A71" s="53" t="str">
        <f t="shared" si="1"/>
        <v>US-13-TC-69</v>
      </c>
      <c r="B71" s="70" t="s">
        <v>683</v>
      </c>
      <c r="C71" s="54" t="s">
        <v>331</v>
      </c>
      <c r="D71" s="70" t="s">
        <v>431</v>
      </c>
      <c r="E71" s="70" t="s">
        <v>503</v>
      </c>
      <c r="F71" s="55" t="s">
        <v>50</v>
      </c>
    </row>
    <row r="72">
      <c r="A72" s="53" t="str">
        <f t="shared" si="1"/>
        <v>US-13-TC-70</v>
      </c>
      <c r="B72" s="70" t="s">
        <v>684</v>
      </c>
      <c r="C72" s="54" t="s">
        <v>331</v>
      </c>
      <c r="D72" s="70" t="s">
        <v>431</v>
      </c>
      <c r="E72" s="70" t="s">
        <v>436</v>
      </c>
      <c r="F72" s="55" t="s">
        <v>50</v>
      </c>
    </row>
    <row r="73">
      <c r="A73" s="53" t="str">
        <f t="shared" si="1"/>
        <v>US-13-TC-71</v>
      </c>
      <c r="B73" s="70" t="s">
        <v>685</v>
      </c>
      <c r="C73" s="54" t="s">
        <v>331</v>
      </c>
      <c r="D73" s="70" t="s">
        <v>431</v>
      </c>
      <c r="E73" s="70" t="s">
        <v>503</v>
      </c>
      <c r="F73" s="55" t="s">
        <v>50</v>
      </c>
    </row>
    <row r="74">
      <c r="A74" s="53" t="str">
        <f t="shared" si="1"/>
        <v>US-13-TC-72</v>
      </c>
      <c r="B74" s="70" t="s">
        <v>686</v>
      </c>
      <c r="C74" s="54" t="s">
        <v>331</v>
      </c>
      <c r="D74" s="70" t="s">
        <v>431</v>
      </c>
      <c r="E74" s="70" t="s">
        <v>436</v>
      </c>
      <c r="F74" s="55" t="s">
        <v>50</v>
      </c>
    </row>
  </sheetData>
  <dataValidations>
    <dataValidation type="list" allowBlank="1" sqref="F2">
      <formula1>"OPEN,BLOCKED,PASSED,FAILED"</formula1>
    </dataValidation>
    <dataValidation type="list" allowBlank="1" sqref="F3:F58">
      <formula1>"OPEN,BLOCKED,PASSED,FAILED"</formula1>
    </dataValidation>
    <dataValidation type="list" allowBlank="1" sqref="F59:F74">
      <formula1>"OPEN,BLOCKED,PASSED,FAILED,REQUEST"</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4.75"/>
    <col customWidth="1" min="2" max="2" width="61.13"/>
    <col customWidth="1" min="3" max="3" width="50.13"/>
    <col customWidth="1" min="4" max="4" width="48.38"/>
    <col customWidth="1" min="5" max="5" width="56.63"/>
    <col customWidth="1" min="6" max="6" width="21.63"/>
    <col customWidth="1" min="7" max="7" width="22.75"/>
  </cols>
  <sheetData>
    <row r="1">
      <c r="A1" s="47" t="s">
        <v>43</v>
      </c>
      <c r="B1" s="97" t="s">
        <v>699</v>
      </c>
      <c r="C1" s="49"/>
      <c r="D1" s="49"/>
      <c r="E1" s="49"/>
      <c r="F1" s="98"/>
      <c r="G1" s="49"/>
    </row>
    <row r="2">
      <c r="A2" s="51" t="s">
        <v>14</v>
      </c>
      <c r="B2" s="51" t="s">
        <v>16</v>
      </c>
      <c r="C2" s="52" t="s">
        <v>18</v>
      </c>
      <c r="D2" s="52" t="s">
        <v>20</v>
      </c>
      <c r="E2" s="52" t="s">
        <v>219</v>
      </c>
      <c r="F2" s="52" t="s">
        <v>24</v>
      </c>
      <c r="G2" s="52" t="s">
        <v>26</v>
      </c>
    </row>
    <row r="3">
      <c r="A3" s="53" t="str">
        <f t="shared" ref="A3:A12" si="1">IF(B1&lt;&gt;"", "US-14-TC-" &amp; TEXT(COUNTA($B$3:B3), "00"), "")
</f>
        <v>US-14-TC-01</v>
      </c>
      <c r="B3" s="99" t="s">
        <v>700</v>
      </c>
      <c r="C3" s="54" t="s">
        <v>331</v>
      </c>
      <c r="D3" s="54" t="s">
        <v>701</v>
      </c>
      <c r="E3" s="55" t="s">
        <v>452</v>
      </c>
      <c r="F3" s="55" t="s">
        <v>53</v>
      </c>
      <c r="G3" s="55"/>
    </row>
    <row r="4">
      <c r="A4" s="53" t="str">
        <f t="shared" si="1"/>
        <v>US-14-TC-02</v>
      </c>
      <c r="B4" s="99" t="s">
        <v>691</v>
      </c>
      <c r="C4" s="54" t="s">
        <v>331</v>
      </c>
      <c r="D4" s="54" t="s">
        <v>701</v>
      </c>
      <c r="E4" s="55" t="s">
        <v>452</v>
      </c>
      <c r="F4" s="55" t="s">
        <v>53</v>
      </c>
      <c r="G4" s="55"/>
    </row>
    <row r="5">
      <c r="A5" s="53" t="str">
        <f t="shared" si="1"/>
        <v>US-14-TC-03</v>
      </c>
      <c r="B5" s="125" t="s">
        <v>692</v>
      </c>
      <c r="C5" s="54" t="s">
        <v>331</v>
      </c>
      <c r="D5" s="54" t="s">
        <v>701</v>
      </c>
      <c r="E5" s="55" t="s">
        <v>452</v>
      </c>
      <c r="F5" s="55" t="s">
        <v>53</v>
      </c>
      <c r="G5" s="55"/>
    </row>
    <row r="6">
      <c r="A6" s="53" t="str">
        <f t="shared" si="1"/>
        <v>US-14-TC-04</v>
      </c>
      <c r="B6" s="125" t="s">
        <v>693</v>
      </c>
      <c r="C6" s="54" t="s">
        <v>331</v>
      </c>
      <c r="D6" s="54" t="s">
        <v>701</v>
      </c>
      <c r="E6" s="55" t="s">
        <v>452</v>
      </c>
      <c r="F6" s="55" t="s">
        <v>53</v>
      </c>
      <c r="G6" s="55"/>
    </row>
    <row r="7">
      <c r="A7" s="53" t="str">
        <f t="shared" si="1"/>
        <v>US-14-TC-05</v>
      </c>
      <c r="B7" s="125" t="s">
        <v>694</v>
      </c>
      <c r="C7" s="54" t="s">
        <v>331</v>
      </c>
      <c r="D7" s="54" t="s">
        <v>701</v>
      </c>
      <c r="E7" s="55" t="s">
        <v>452</v>
      </c>
      <c r="F7" s="55" t="s">
        <v>53</v>
      </c>
      <c r="G7" s="55"/>
    </row>
    <row r="8">
      <c r="A8" s="53" t="str">
        <f t="shared" si="1"/>
        <v>US-14-TC-06</v>
      </c>
      <c r="B8" s="125" t="s">
        <v>695</v>
      </c>
      <c r="C8" s="54" t="s">
        <v>331</v>
      </c>
      <c r="D8" s="54" t="s">
        <v>701</v>
      </c>
      <c r="E8" s="55" t="s">
        <v>452</v>
      </c>
      <c r="F8" s="55" t="s">
        <v>53</v>
      </c>
      <c r="G8" s="55"/>
    </row>
    <row r="9">
      <c r="A9" s="53" t="str">
        <f t="shared" si="1"/>
        <v>US-14-TC-07</v>
      </c>
      <c r="B9" s="125" t="s">
        <v>696</v>
      </c>
      <c r="C9" s="54" t="s">
        <v>331</v>
      </c>
      <c r="D9" s="54" t="s">
        <v>701</v>
      </c>
      <c r="E9" s="55" t="s">
        <v>452</v>
      </c>
      <c r="F9" s="55" t="s">
        <v>53</v>
      </c>
      <c r="G9" s="55"/>
    </row>
    <row r="10">
      <c r="A10" s="53" t="str">
        <f t="shared" si="1"/>
        <v>US-14-TC-08</v>
      </c>
      <c r="B10" s="125" t="s">
        <v>697</v>
      </c>
      <c r="C10" s="54" t="s">
        <v>331</v>
      </c>
      <c r="D10" s="54" t="s">
        <v>701</v>
      </c>
      <c r="E10" s="55" t="s">
        <v>452</v>
      </c>
      <c r="F10" s="55" t="s">
        <v>53</v>
      </c>
      <c r="G10" s="55"/>
    </row>
    <row r="11">
      <c r="A11" s="53" t="str">
        <f t="shared" si="1"/>
        <v>US-14-TC-09</v>
      </c>
      <c r="B11" s="125" t="s">
        <v>698</v>
      </c>
      <c r="C11" s="54" t="s">
        <v>331</v>
      </c>
      <c r="D11" s="54" t="s">
        <v>701</v>
      </c>
      <c r="E11" s="55" t="s">
        <v>452</v>
      </c>
      <c r="F11" s="55" t="s">
        <v>53</v>
      </c>
      <c r="G11" s="55"/>
    </row>
    <row r="12">
      <c r="A12" s="53" t="str">
        <f t="shared" si="1"/>
        <v>US-14-TC-10</v>
      </c>
      <c r="B12" s="126" t="s">
        <v>702</v>
      </c>
      <c r="C12" s="54" t="s">
        <v>331</v>
      </c>
      <c r="D12" s="54" t="s">
        <v>451</v>
      </c>
      <c r="E12" s="55" t="s">
        <v>452</v>
      </c>
      <c r="F12" s="55" t="s">
        <v>53</v>
      </c>
      <c r="G12" s="55"/>
    </row>
    <row r="13">
      <c r="A13" s="53" t="str">
        <f t="shared" ref="A13:A14" si="2">IF(B12&lt;&gt;"", "US-14-TC-" &amp; TEXT(COUNTA($B$3:B13), "00"), "")
</f>
        <v>US-14-TC-11</v>
      </c>
      <c r="B13" s="114" t="s">
        <v>703</v>
      </c>
      <c r="C13" s="75" t="s">
        <v>331</v>
      </c>
      <c r="D13" s="75" t="s">
        <v>456</v>
      </c>
      <c r="E13" s="76" t="s">
        <v>457</v>
      </c>
      <c r="F13" s="55" t="s">
        <v>53</v>
      </c>
      <c r="G13" s="77"/>
    </row>
    <row r="14">
      <c r="A14" s="53" t="str">
        <f t="shared" si="2"/>
        <v>US-14-TC-12</v>
      </c>
      <c r="B14" s="71" t="s">
        <v>342</v>
      </c>
      <c r="C14" s="72" t="s">
        <v>331</v>
      </c>
      <c r="D14" s="72" t="s">
        <v>458</v>
      </c>
      <c r="E14" s="71" t="s">
        <v>343</v>
      </c>
      <c r="F14" s="55" t="s">
        <v>53</v>
      </c>
      <c r="G14" s="73"/>
    </row>
    <row r="15">
      <c r="A15" s="53" t="str">
        <f t="shared" ref="A15:A66" si="3">IF(B13&lt;&gt;"", "US-14-TC-" &amp; TEXT(COUNTA($B$3:B15), "00"), "")
</f>
        <v>US-14-TC-13</v>
      </c>
      <c r="B15" s="76" t="s">
        <v>344</v>
      </c>
      <c r="C15" s="75" t="s">
        <v>331</v>
      </c>
      <c r="D15" s="75" t="s">
        <v>459</v>
      </c>
      <c r="E15" s="76" t="s">
        <v>345</v>
      </c>
      <c r="F15" s="55" t="s">
        <v>53</v>
      </c>
      <c r="G15" s="77"/>
    </row>
    <row r="16">
      <c r="A16" s="53" t="str">
        <f t="shared" si="3"/>
        <v>US-14-TC-14</v>
      </c>
      <c r="B16" s="71" t="s">
        <v>346</v>
      </c>
      <c r="C16" s="72" t="s">
        <v>331</v>
      </c>
      <c r="D16" s="72" t="s">
        <v>460</v>
      </c>
      <c r="E16" s="71" t="s">
        <v>347</v>
      </c>
      <c r="F16" s="55" t="s">
        <v>53</v>
      </c>
      <c r="G16" s="73"/>
    </row>
    <row r="17">
      <c r="A17" s="53" t="str">
        <f t="shared" si="3"/>
        <v>US-14-TC-15</v>
      </c>
      <c r="B17" s="76" t="s">
        <v>461</v>
      </c>
      <c r="C17" s="75" t="s">
        <v>462</v>
      </c>
      <c r="D17" s="75" t="s">
        <v>456</v>
      </c>
      <c r="E17" s="76" t="s">
        <v>463</v>
      </c>
      <c r="F17" s="55" t="s">
        <v>53</v>
      </c>
      <c r="G17" s="77"/>
    </row>
    <row r="18">
      <c r="A18" s="53" t="str">
        <f t="shared" si="3"/>
        <v>US-14-TC-16</v>
      </c>
      <c r="B18" s="76" t="s">
        <v>467</v>
      </c>
      <c r="C18" s="75" t="s">
        <v>331</v>
      </c>
      <c r="D18" s="75" t="s">
        <v>468</v>
      </c>
      <c r="E18" s="76" t="s">
        <v>469</v>
      </c>
      <c r="F18" s="55" t="s">
        <v>53</v>
      </c>
      <c r="G18" s="77"/>
    </row>
    <row r="19">
      <c r="A19" s="53" t="str">
        <f t="shared" si="3"/>
        <v>US-14-TC-17</v>
      </c>
      <c r="B19" s="71" t="s">
        <v>348</v>
      </c>
      <c r="C19" s="72" t="s">
        <v>331</v>
      </c>
      <c r="D19" s="72" t="s">
        <v>470</v>
      </c>
      <c r="E19" s="71" t="s">
        <v>349</v>
      </c>
      <c r="F19" s="55" t="s">
        <v>50</v>
      </c>
      <c r="G19" s="73"/>
    </row>
    <row r="20">
      <c r="A20" s="53" t="str">
        <f t="shared" si="3"/>
        <v>US-14-TC-18</v>
      </c>
      <c r="B20" s="76" t="s">
        <v>471</v>
      </c>
      <c r="C20" s="75" t="s">
        <v>331</v>
      </c>
      <c r="D20" s="75" t="s">
        <v>351</v>
      </c>
      <c r="E20" s="76" t="s">
        <v>352</v>
      </c>
      <c r="F20" s="55" t="s">
        <v>50</v>
      </c>
      <c r="G20" s="77"/>
    </row>
    <row r="21">
      <c r="A21" s="53" t="str">
        <f t="shared" si="3"/>
        <v>US-14-TC-19</v>
      </c>
      <c r="B21" s="71" t="s">
        <v>472</v>
      </c>
      <c r="C21" s="72" t="s">
        <v>331</v>
      </c>
      <c r="D21" s="72" t="s">
        <v>355</v>
      </c>
      <c r="E21" s="71" t="s">
        <v>356</v>
      </c>
      <c r="F21" s="55" t="s">
        <v>50</v>
      </c>
      <c r="G21" s="73"/>
    </row>
    <row r="22">
      <c r="A22" s="53" t="str">
        <f t="shared" si="3"/>
        <v>US-14-TC-20</v>
      </c>
      <c r="B22" s="76" t="s">
        <v>473</v>
      </c>
      <c r="C22" s="75" t="s">
        <v>331</v>
      </c>
      <c r="D22" s="75" t="s">
        <v>358</v>
      </c>
      <c r="E22" s="76" t="s">
        <v>359</v>
      </c>
      <c r="F22" s="55" t="s">
        <v>50</v>
      </c>
      <c r="G22" s="77"/>
    </row>
    <row r="23">
      <c r="A23" s="53" t="str">
        <f t="shared" si="3"/>
        <v>US-14-TC-21</v>
      </c>
      <c r="B23" s="71" t="s">
        <v>474</v>
      </c>
      <c r="C23" s="72" t="s">
        <v>331</v>
      </c>
      <c r="D23" s="72" t="s">
        <v>361</v>
      </c>
      <c r="E23" s="71" t="s">
        <v>362</v>
      </c>
      <c r="F23" s="55" t="s">
        <v>50</v>
      </c>
      <c r="G23" s="73"/>
    </row>
    <row r="24">
      <c r="A24" s="53" t="str">
        <f t="shared" si="3"/>
        <v>US-14-TC-22</v>
      </c>
      <c r="B24" s="76" t="s">
        <v>475</v>
      </c>
      <c r="C24" s="75" t="s">
        <v>331</v>
      </c>
      <c r="D24" s="75" t="s">
        <v>365</v>
      </c>
      <c r="E24" s="76" t="s">
        <v>366</v>
      </c>
      <c r="F24" s="55" t="s">
        <v>50</v>
      </c>
      <c r="G24" s="77"/>
    </row>
    <row r="25">
      <c r="A25" s="53" t="str">
        <f t="shared" si="3"/>
        <v>US-14-TC-23</v>
      </c>
      <c r="B25" s="71" t="s">
        <v>476</v>
      </c>
      <c r="C25" s="72" t="s">
        <v>331</v>
      </c>
      <c r="D25" s="72" t="s">
        <v>368</v>
      </c>
      <c r="E25" s="71" t="s">
        <v>369</v>
      </c>
      <c r="F25" s="55" t="s">
        <v>50</v>
      </c>
      <c r="G25" s="73"/>
    </row>
    <row r="26">
      <c r="A26" s="53" t="str">
        <f t="shared" si="3"/>
        <v>US-14-TC-24</v>
      </c>
      <c r="B26" s="76" t="s">
        <v>477</v>
      </c>
      <c r="C26" s="75" t="s">
        <v>331</v>
      </c>
      <c r="D26" s="75" t="s">
        <v>371</v>
      </c>
      <c r="E26" s="76" t="s">
        <v>372</v>
      </c>
      <c r="F26" s="55" t="s">
        <v>50</v>
      </c>
      <c r="G26" s="77"/>
    </row>
    <row r="27">
      <c r="A27" s="53" t="str">
        <f t="shared" si="3"/>
        <v>US-14-TC-25</v>
      </c>
      <c r="B27" s="71" t="s">
        <v>478</v>
      </c>
      <c r="C27" s="72" t="s">
        <v>331</v>
      </c>
      <c r="D27" s="72" t="s">
        <v>375</v>
      </c>
      <c r="E27" s="71" t="s">
        <v>376</v>
      </c>
      <c r="F27" s="55" t="s">
        <v>50</v>
      </c>
      <c r="G27" s="73"/>
    </row>
    <row r="28">
      <c r="A28" s="53" t="str">
        <f t="shared" si="3"/>
        <v>US-14-TC-26</v>
      </c>
      <c r="B28" s="76" t="s">
        <v>480</v>
      </c>
      <c r="C28" s="75" t="s">
        <v>331</v>
      </c>
      <c r="D28" s="75" t="s">
        <v>379</v>
      </c>
      <c r="E28" s="76" t="s">
        <v>380</v>
      </c>
      <c r="F28" s="55" t="s">
        <v>50</v>
      </c>
      <c r="G28" s="77"/>
    </row>
    <row r="29">
      <c r="A29" s="53" t="str">
        <f t="shared" si="3"/>
        <v>US-14-TC-27</v>
      </c>
      <c r="B29" s="71" t="s">
        <v>481</v>
      </c>
      <c r="C29" s="72" t="s">
        <v>331</v>
      </c>
      <c r="D29" s="72" t="s">
        <v>383</v>
      </c>
      <c r="E29" s="71" t="s">
        <v>384</v>
      </c>
      <c r="F29" s="55" t="s">
        <v>50</v>
      </c>
      <c r="G29" s="73"/>
    </row>
    <row r="30">
      <c r="A30" s="53" t="str">
        <f t="shared" si="3"/>
        <v>US-14-TC-28</v>
      </c>
      <c r="B30" s="76" t="s">
        <v>482</v>
      </c>
      <c r="C30" s="75" t="s">
        <v>331</v>
      </c>
      <c r="D30" s="75" t="s">
        <v>386</v>
      </c>
      <c r="E30" s="76" t="s">
        <v>387</v>
      </c>
      <c r="F30" s="55" t="s">
        <v>50</v>
      </c>
      <c r="G30" s="77"/>
    </row>
    <row r="31">
      <c r="A31" s="53" t="str">
        <f t="shared" si="3"/>
        <v>US-14-TC-29</v>
      </c>
      <c r="B31" s="71" t="s">
        <v>388</v>
      </c>
      <c r="C31" s="72" t="s">
        <v>331</v>
      </c>
      <c r="D31" s="72" t="s">
        <v>389</v>
      </c>
      <c r="E31" s="71" t="s">
        <v>390</v>
      </c>
      <c r="F31" s="55" t="s">
        <v>50</v>
      </c>
      <c r="G31" s="73"/>
    </row>
    <row r="32">
      <c r="A32" s="53" t="str">
        <f t="shared" si="3"/>
        <v>US-14-TC-30</v>
      </c>
      <c r="B32" s="78" t="s">
        <v>483</v>
      </c>
      <c r="C32" s="72"/>
      <c r="D32" s="72"/>
      <c r="E32" s="71"/>
      <c r="F32" s="55" t="s">
        <v>50</v>
      </c>
      <c r="G32" s="73"/>
    </row>
    <row r="33">
      <c r="A33" s="53" t="str">
        <f t="shared" si="3"/>
        <v>US-14-TC-31</v>
      </c>
      <c r="B33" s="76" t="s">
        <v>392</v>
      </c>
      <c r="C33" s="75" t="s">
        <v>331</v>
      </c>
      <c r="D33" s="75" t="s">
        <v>393</v>
      </c>
      <c r="E33" s="76" t="s">
        <v>394</v>
      </c>
      <c r="F33" s="55" t="s">
        <v>50</v>
      </c>
      <c r="G33" s="77"/>
    </row>
    <row r="34">
      <c r="A34" s="53" t="str">
        <f t="shared" si="3"/>
        <v>US-14-TC-32</v>
      </c>
      <c r="B34" s="71" t="s">
        <v>633</v>
      </c>
      <c r="C34" s="72" t="s">
        <v>331</v>
      </c>
      <c r="D34" s="72" t="s">
        <v>397</v>
      </c>
      <c r="E34" s="71" t="s">
        <v>398</v>
      </c>
      <c r="F34" s="55" t="s">
        <v>50</v>
      </c>
      <c r="G34" s="73"/>
    </row>
    <row r="35">
      <c r="A35" s="53" t="str">
        <f t="shared" si="3"/>
        <v>US-14-TC-33</v>
      </c>
      <c r="B35" s="76" t="s">
        <v>399</v>
      </c>
      <c r="C35" s="75" t="s">
        <v>331</v>
      </c>
      <c r="D35" s="75" t="s">
        <v>400</v>
      </c>
      <c r="E35" s="76" t="s">
        <v>401</v>
      </c>
      <c r="F35" s="55" t="s">
        <v>50</v>
      </c>
      <c r="G35" s="77"/>
    </row>
    <row r="36">
      <c r="A36" s="53" t="str">
        <f t="shared" si="3"/>
        <v>US-14-TC-34</v>
      </c>
      <c r="B36" s="78" t="s">
        <v>484</v>
      </c>
      <c r="C36" s="72" t="s">
        <v>331</v>
      </c>
      <c r="D36" s="72" t="s">
        <v>403</v>
      </c>
      <c r="E36" s="71" t="s">
        <v>404</v>
      </c>
      <c r="F36" s="55" t="s">
        <v>50</v>
      </c>
      <c r="G36" s="73"/>
    </row>
    <row r="37">
      <c r="A37" s="53" t="str">
        <f t="shared" si="3"/>
        <v>US-14-TC-35</v>
      </c>
      <c r="B37" s="78" t="s">
        <v>485</v>
      </c>
      <c r="C37" s="72"/>
      <c r="D37" s="72"/>
      <c r="E37" s="71"/>
      <c r="F37" s="55" t="s">
        <v>50</v>
      </c>
      <c r="G37" s="73"/>
    </row>
    <row r="38">
      <c r="A38" s="53" t="str">
        <f t="shared" si="3"/>
        <v>US-14-TC-36</v>
      </c>
      <c r="B38" s="76" t="s">
        <v>405</v>
      </c>
      <c r="C38" s="75" t="s">
        <v>331</v>
      </c>
      <c r="D38" s="76" t="s">
        <v>406</v>
      </c>
      <c r="E38" s="76" t="s">
        <v>407</v>
      </c>
      <c r="F38" s="55" t="s">
        <v>50</v>
      </c>
      <c r="G38" s="77"/>
    </row>
    <row r="39">
      <c r="A39" s="53" t="str">
        <f t="shared" si="3"/>
        <v>US-14-TC-37</v>
      </c>
      <c r="B39" s="71" t="s">
        <v>410</v>
      </c>
      <c r="C39" s="72" t="s">
        <v>331</v>
      </c>
      <c r="D39" s="76" t="s">
        <v>411</v>
      </c>
      <c r="E39" s="71" t="s">
        <v>412</v>
      </c>
      <c r="F39" s="55" t="s">
        <v>50</v>
      </c>
      <c r="G39" s="73"/>
    </row>
    <row r="40">
      <c r="A40" s="53" t="str">
        <f t="shared" si="3"/>
        <v>US-14-TC-38</v>
      </c>
      <c r="B40" s="76" t="s">
        <v>486</v>
      </c>
      <c r="C40" s="75" t="s">
        <v>331</v>
      </c>
      <c r="D40" s="76" t="s">
        <v>487</v>
      </c>
      <c r="E40" s="76" t="s">
        <v>488</v>
      </c>
      <c r="F40" s="55" t="s">
        <v>50</v>
      </c>
      <c r="G40" s="77"/>
    </row>
    <row r="41">
      <c r="A41" s="53" t="str">
        <f t="shared" si="3"/>
        <v>US-14-TC-39</v>
      </c>
      <c r="B41" s="53" t="s">
        <v>489</v>
      </c>
      <c r="C41" s="54" t="s">
        <v>331</v>
      </c>
      <c r="D41" s="54" t="s">
        <v>451</v>
      </c>
      <c r="E41" s="55" t="s">
        <v>452</v>
      </c>
      <c r="F41" s="55" t="s">
        <v>50</v>
      </c>
      <c r="G41" s="56"/>
    </row>
    <row r="42">
      <c r="A42" s="53" t="str">
        <f t="shared" si="3"/>
        <v>US-14-TC-40</v>
      </c>
      <c r="B42" s="53" t="s">
        <v>588</v>
      </c>
      <c r="C42" s="54" t="s">
        <v>331</v>
      </c>
      <c r="D42" s="54" t="s">
        <v>451</v>
      </c>
      <c r="E42" s="55" t="s">
        <v>337</v>
      </c>
      <c r="F42" s="55" t="s">
        <v>50</v>
      </c>
      <c r="G42" s="56"/>
    </row>
    <row r="43">
      <c r="A43" s="53" t="str">
        <f t="shared" si="3"/>
        <v>US-14-TC-41</v>
      </c>
      <c r="B43" s="53" t="s">
        <v>490</v>
      </c>
      <c r="C43" s="54" t="s">
        <v>331</v>
      </c>
      <c r="D43" s="54" t="s">
        <v>451</v>
      </c>
      <c r="E43" s="55" t="s">
        <v>339</v>
      </c>
      <c r="F43" s="55" t="s">
        <v>50</v>
      </c>
      <c r="G43" s="56"/>
    </row>
    <row r="44">
      <c r="A44" s="53" t="str">
        <f t="shared" si="3"/>
        <v>US-14-TC-42</v>
      </c>
      <c r="B44" s="53" t="s">
        <v>491</v>
      </c>
      <c r="C44" s="54" t="s">
        <v>331</v>
      </c>
      <c r="D44" s="54" t="s">
        <v>451</v>
      </c>
      <c r="E44" s="55" t="s">
        <v>341</v>
      </c>
      <c r="F44" s="55" t="s">
        <v>50</v>
      </c>
      <c r="G44" s="56"/>
    </row>
    <row r="45">
      <c r="A45" s="53" t="str">
        <f t="shared" si="3"/>
        <v>US-14-TC-43</v>
      </c>
      <c r="B45" s="53" t="s">
        <v>492</v>
      </c>
      <c r="C45" s="54" t="s">
        <v>331</v>
      </c>
      <c r="D45" s="54" t="s">
        <v>451</v>
      </c>
      <c r="E45" s="55" t="s">
        <v>493</v>
      </c>
      <c r="F45" s="55" t="s">
        <v>50</v>
      </c>
      <c r="G45" s="56"/>
    </row>
    <row r="46">
      <c r="A46" s="53" t="str">
        <f t="shared" si="3"/>
        <v>US-14-TC-44</v>
      </c>
      <c r="B46" s="53" t="s">
        <v>494</v>
      </c>
      <c r="C46" s="54" t="s">
        <v>331</v>
      </c>
      <c r="D46" s="54" t="s">
        <v>451</v>
      </c>
      <c r="E46" s="55" t="s">
        <v>339</v>
      </c>
      <c r="F46" s="55" t="s">
        <v>50</v>
      </c>
      <c r="G46" s="56"/>
    </row>
    <row r="47">
      <c r="A47" s="53" t="str">
        <f t="shared" si="3"/>
        <v>US-14-TC-45</v>
      </c>
      <c r="B47" s="53" t="s">
        <v>495</v>
      </c>
      <c r="C47" s="54" t="s">
        <v>331</v>
      </c>
      <c r="D47" s="54" t="s">
        <v>451</v>
      </c>
      <c r="E47" s="55" t="s">
        <v>496</v>
      </c>
      <c r="F47" s="55" t="s">
        <v>50</v>
      </c>
      <c r="G47" s="56"/>
    </row>
    <row r="48">
      <c r="A48" s="53" t="str">
        <f t="shared" si="3"/>
        <v>US-14-TC-46</v>
      </c>
      <c r="B48" s="53" t="s">
        <v>497</v>
      </c>
      <c r="C48" s="54" t="s">
        <v>331</v>
      </c>
      <c r="D48" s="54" t="s">
        <v>451</v>
      </c>
      <c r="E48" s="55" t="s">
        <v>339</v>
      </c>
      <c r="F48" s="55" t="s">
        <v>50</v>
      </c>
      <c r="G48" s="56"/>
    </row>
    <row r="49">
      <c r="A49" s="53" t="str">
        <f t="shared" si="3"/>
        <v>US-14-TC-47</v>
      </c>
      <c r="B49" s="53" t="s">
        <v>498</v>
      </c>
      <c r="C49" s="54" t="s">
        <v>331</v>
      </c>
      <c r="D49" s="54" t="s">
        <v>451</v>
      </c>
      <c r="E49" s="55" t="s">
        <v>339</v>
      </c>
      <c r="F49" s="55" t="s">
        <v>50</v>
      </c>
      <c r="G49" s="56"/>
    </row>
    <row r="50">
      <c r="A50" s="53" t="str">
        <f t="shared" si="3"/>
        <v>US-14-TC-48</v>
      </c>
      <c r="B50" s="53" t="s">
        <v>499</v>
      </c>
      <c r="C50" s="54" t="s">
        <v>331</v>
      </c>
      <c r="D50" s="54" t="s">
        <v>451</v>
      </c>
      <c r="E50" s="55" t="s">
        <v>500</v>
      </c>
      <c r="F50" s="55" t="s">
        <v>50</v>
      </c>
      <c r="G50" s="56"/>
    </row>
    <row r="51">
      <c r="A51" s="53" t="str">
        <f t="shared" si="3"/>
        <v>US-14-TC-49</v>
      </c>
      <c r="B51" s="53" t="s">
        <v>413</v>
      </c>
      <c r="C51" s="54" t="s">
        <v>331</v>
      </c>
      <c r="D51" s="62" t="s">
        <v>414</v>
      </c>
      <c r="E51" s="55" t="s">
        <v>415</v>
      </c>
      <c r="F51" s="55" t="s">
        <v>50</v>
      </c>
      <c r="G51" s="56"/>
    </row>
    <row r="52">
      <c r="A52" s="53" t="str">
        <f t="shared" si="3"/>
        <v>US-14-TC-50</v>
      </c>
      <c r="B52" s="53" t="s">
        <v>416</v>
      </c>
      <c r="C52" s="54" t="s">
        <v>331</v>
      </c>
      <c r="D52" s="62" t="s">
        <v>417</v>
      </c>
      <c r="E52" s="55" t="s">
        <v>501</v>
      </c>
      <c r="F52" s="55" t="s">
        <v>50</v>
      </c>
      <c r="G52" s="56"/>
    </row>
    <row r="53">
      <c r="A53" s="53" t="str">
        <f t="shared" si="3"/>
        <v>US-14-TC-51</v>
      </c>
      <c r="B53" s="53" t="s">
        <v>419</v>
      </c>
      <c r="C53" s="54" t="s">
        <v>331</v>
      </c>
      <c r="D53" s="62" t="s">
        <v>420</v>
      </c>
      <c r="E53" s="55" t="s">
        <v>502</v>
      </c>
      <c r="F53" s="55" t="s">
        <v>50</v>
      </c>
      <c r="G53" s="56"/>
    </row>
    <row r="54">
      <c r="A54" s="53" t="str">
        <f t="shared" si="3"/>
        <v>US-14-TC-52</v>
      </c>
      <c r="B54" s="53" t="s">
        <v>422</v>
      </c>
      <c r="C54" s="54" t="s">
        <v>331</v>
      </c>
      <c r="D54" s="62" t="s">
        <v>420</v>
      </c>
      <c r="E54" s="55" t="s">
        <v>423</v>
      </c>
      <c r="F54" s="55" t="s">
        <v>50</v>
      </c>
      <c r="G54" s="56"/>
    </row>
    <row r="55">
      <c r="A55" s="53" t="str">
        <f t="shared" si="3"/>
        <v>US-14-TC-53</v>
      </c>
      <c r="B55" s="53" t="s">
        <v>419</v>
      </c>
      <c r="C55" s="54" t="s">
        <v>331</v>
      </c>
      <c r="D55" s="62" t="s">
        <v>508</v>
      </c>
      <c r="E55" s="55" t="s">
        <v>502</v>
      </c>
      <c r="F55" s="55" t="s">
        <v>50</v>
      </c>
      <c r="G55" s="56"/>
    </row>
    <row r="56">
      <c r="A56" s="53" t="str">
        <f t="shared" si="3"/>
        <v>US-14-TC-54</v>
      </c>
      <c r="B56" s="53" t="s">
        <v>422</v>
      </c>
      <c r="C56" s="54" t="s">
        <v>331</v>
      </c>
      <c r="D56" s="62" t="s">
        <v>508</v>
      </c>
      <c r="E56" s="55" t="s">
        <v>423</v>
      </c>
      <c r="F56" s="55" t="s">
        <v>50</v>
      </c>
      <c r="G56" s="56"/>
    </row>
    <row r="57">
      <c r="A57" s="53" t="str">
        <f t="shared" si="3"/>
        <v>US-14-TC-55</v>
      </c>
      <c r="B57" s="53" t="s">
        <v>422</v>
      </c>
      <c r="C57" s="54" t="s">
        <v>331</v>
      </c>
      <c r="D57" s="62" t="s">
        <v>508</v>
      </c>
      <c r="E57" s="55" t="s">
        <v>423</v>
      </c>
      <c r="F57" s="55" t="s">
        <v>50</v>
      </c>
      <c r="G57" s="56"/>
    </row>
    <row r="58">
      <c r="A58" s="53" t="str">
        <f t="shared" si="3"/>
        <v>US-14-TC-56</v>
      </c>
      <c r="B58" s="70" t="s">
        <v>671</v>
      </c>
      <c r="C58" s="54" t="s">
        <v>331</v>
      </c>
      <c r="D58" s="70" t="s">
        <v>431</v>
      </c>
      <c r="E58" s="70" t="s">
        <v>503</v>
      </c>
      <c r="F58" s="55" t="s">
        <v>50</v>
      </c>
    </row>
    <row r="59">
      <c r="A59" s="53" t="str">
        <f t="shared" si="3"/>
        <v>US-14-TC-57</v>
      </c>
      <c r="B59" s="70" t="s">
        <v>672</v>
      </c>
      <c r="C59" s="54" t="s">
        <v>331</v>
      </c>
      <c r="D59" s="70" t="s">
        <v>431</v>
      </c>
      <c r="E59" s="70" t="s">
        <v>436</v>
      </c>
      <c r="F59" s="55" t="s">
        <v>50</v>
      </c>
    </row>
    <row r="60">
      <c r="A60" s="53" t="str">
        <f t="shared" si="3"/>
        <v>US-14-TC-58</v>
      </c>
      <c r="B60" s="70" t="s">
        <v>673</v>
      </c>
      <c r="C60" s="54" t="s">
        <v>331</v>
      </c>
      <c r="D60" s="70" t="s">
        <v>431</v>
      </c>
      <c r="E60" s="70" t="s">
        <v>503</v>
      </c>
      <c r="F60" s="55" t="s">
        <v>50</v>
      </c>
    </row>
    <row r="61">
      <c r="A61" s="53" t="str">
        <f t="shared" si="3"/>
        <v>US-14-TC-59</v>
      </c>
      <c r="B61" s="70" t="s">
        <v>674</v>
      </c>
      <c r="C61" s="54" t="s">
        <v>331</v>
      </c>
      <c r="D61" s="70" t="s">
        <v>431</v>
      </c>
      <c r="E61" s="70" t="s">
        <v>436</v>
      </c>
      <c r="F61" s="55" t="s">
        <v>50</v>
      </c>
    </row>
    <row r="62">
      <c r="A62" s="53" t="str">
        <f t="shared" si="3"/>
        <v>US-14-TC-60</v>
      </c>
      <c r="B62" s="70" t="s">
        <v>675</v>
      </c>
      <c r="C62" s="54" t="s">
        <v>331</v>
      </c>
      <c r="D62" s="70" t="s">
        <v>431</v>
      </c>
      <c r="E62" s="70" t="s">
        <v>503</v>
      </c>
      <c r="F62" s="55" t="s">
        <v>50</v>
      </c>
    </row>
    <row r="63">
      <c r="A63" s="53" t="str">
        <f t="shared" si="3"/>
        <v>US-14-TC-61</v>
      </c>
      <c r="B63" s="70" t="s">
        <v>676</v>
      </c>
      <c r="C63" s="54" t="s">
        <v>331</v>
      </c>
      <c r="D63" s="70" t="s">
        <v>431</v>
      </c>
      <c r="E63" s="70" t="s">
        <v>436</v>
      </c>
      <c r="F63" s="55" t="s">
        <v>50</v>
      </c>
    </row>
    <row r="64">
      <c r="A64" s="53" t="str">
        <f t="shared" si="3"/>
        <v>US-14-TC-62</v>
      </c>
      <c r="B64" s="70" t="s">
        <v>677</v>
      </c>
      <c r="C64" s="54" t="s">
        <v>331</v>
      </c>
      <c r="D64" s="70" t="s">
        <v>431</v>
      </c>
      <c r="E64" s="70" t="s">
        <v>503</v>
      </c>
      <c r="F64" s="55" t="s">
        <v>50</v>
      </c>
    </row>
    <row r="65">
      <c r="A65" s="53" t="str">
        <f t="shared" si="3"/>
        <v>US-14-TC-63</v>
      </c>
      <c r="B65" s="70" t="s">
        <v>678</v>
      </c>
      <c r="C65" s="54" t="s">
        <v>331</v>
      </c>
      <c r="D65" s="70" t="s">
        <v>431</v>
      </c>
      <c r="E65" s="70" t="s">
        <v>436</v>
      </c>
      <c r="F65" s="55" t="s">
        <v>50</v>
      </c>
    </row>
    <row r="66">
      <c r="A66" s="53" t="str">
        <f t="shared" si="3"/>
        <v>US-14-TC-64</v>
      </c>
      <c r="B66" s="70" t="s">
        <v>642</v>
      </c>
      <c r="C66" s="54" t="s">
        <v>331</v>
      </c>
      <c r="D66" s="70" t="s">
        <v>431</v>
      </c>
      <c r="E66" s="70" t="s">
        <v>503</v>
      </c>
      <c r="F66" s="55" t="s">
        <v>50</v>
      </c>
    </row>
    <row r="67">
      <c r="A67" s="53" t="str">
        <f>IF(B66&lt;&gt;"", "US-14-TC-" &amp; TEXT(COUNTA($B$3:B67), "00"), "")
</f>
        <v>US-14-TC-65</v>
      </c>
      <c r="B67" s="70" t="s">
        <v>680</v>
      </c>
      <c r="C67" s="54" t="s">
        <v>331</v>
      </c>
      <c r="D67" s="70" t="s">
        <v>431</v>
      </c>
      <c r="E67" s="70" t="s">
        <v>436</v>
      </c>
      <c r="F67" s="55" t="s">
        <v>50</v>
      </c>
    </row>
    <row r="68">
      <c r="A68" s="53" t="str">
        <f t="shared" ref="A68:A73" si="4">IF(B66&lt;&gt;"", "US-14-TC-" &amp; TEXT(COUNTA($B$3:B68), "00"), "")
</f>
        <v>US-14-TC-66</v>
      </c>
      <c r="B68" s="70" t="s">
        <v>681</v>
      </c>
      <c r="C68" s="54" t="s">
        <v>331</v>
      </c>
      <c r="D68" s="70" t="s">
        <v>431</v>
      </c>
      <c r="E68" s="70" t="s">
        <v>503</v>
      </c>
      <c r="F68" s="55" t="s">
        <v>50</v>
      </c>
    </row>
    <row r="69">
      <c r="A69" s="53" t="str">
        <f t="shared" si="4"/>
        <v>US-14-TC-67</v>
      </c>
      <c r="B69" s="70" t="s">
        <v>682</v>
      </c>
      <c r="C69" s="54" t="s">
        <v>331</v>
      </c>
      <c r="D69" s="70" t="s">
        <v>431</v>
      </c>
      <c r="E69" s="70" t="s">
        <v>436</v>
      </c>
      <c r="F69" s="55" t="s">
        <v>50</v>
      </c>
    </row>
    <row r="70">
      <c r="A70" s="53" t="str">
        <f t="shared" si="4"/>
        <v>US-14-TC-68</v>
      </c>
      <c r="B70" s="70" t="s">
        <v>683</v>
      </c>
      <c r="C70" s="54" t="s">
        <v>331</v>
      </c>
      <c r="D70" s="70" t="s">
        <v>431</v>
      </c>
      <c r="E70" s="70" t="s">
        <v>503</v>
      </c>
      <c r="F70" s="55" t="s">
        <v>50</v>
      </c>
    </row>
    <row r="71">
      <c r="A71" s="53" t="str">
        <f t="shared" si="4"/>
        <v>US-14-TC-69</v>
      </c>
      <c r="B71" s="70" t="s">
        <v>684</v>
      </c>
      <c r="C71" s="54" t="s">
        <v>331</v>
      </c>
      <c r="D71" s="70" t="s">
        <v>431</v>
      </c>
      <c r="E71" s="70" t="s">
        <v>436</v>
      </c>
      <c r="F71" s="55" t="s">
        <v>50</v>
      </c>
    </row>
    <row r="72">
      <c r="A72" s="53" t="str">
        <f t="shared" si="4"/>
        <v>US-14-TC-70</v>
      </c>
      <c r="B72" s="70" t="s">
        <v>685</v>
      </c>
      <c r="C72" s="54" t="s">
        <v>331</v>
      </c>
      <c r="D72" s="70" t="s">
        <v>431</v>
      </c>
      <c r="E72" s="70" t="s">
        <v>503</v>
      </c>
      <c r="F72" s="55" t="s">
        <v>50</v>
      </c>
    </row>
    <row r="73">
      <c r="A73" s="53" t="str">
        <f t="shared" si="4"/>
        <v>US-14-TC-71</v>
      </c>
      <c r="B73" s="70" t="s">
        <v>686</v>
      </c>
      <c r="C73" s="54" t="s">
        <v>331</v>
      </c>
      <c r="D73" s="70" t="s">
        <v>431</v>
      </c>
      <c r="E73" s="70" t="s">
        <v>436</v>
      </c>
      <c r="F73" s="55" t="s">
        <v>50</v>
      </c>
    </row>
  </sheetData>
  <dataValidations>
    <dataValidation type="list" allowBlank="1" sqref="F3:F57">
      <formula1>"OPEN,BLOCKED,PASSED,FAILED"</formula1>
    </dataValidation>
    <dataValidation type="list" allowBlank="1" sqref="F58:F73">
      <formula1>"OPEN,BLOCKED,PASSED,FAILED,REQUEST"</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6.88"/>
    <col customWidth="1" min="2" max="2" width="61.13"/>
    <col customWidth="1" min="3" max="3" width="50.13"/>
    <col customWidth="1" min="4" max="4" width="48.38"/>
    <col customWidth="1" min="5" max="5" width="56.63"/>
    <col customWidth="1" min="6" max="6" width="21.63"/>
    <col customWidth="1" min="7" max="7" width="22.75"/>
  </cols>
  <sheetData>
    <row r="1">
      <c r="A1" s="47" t="s">
        <v>44</v>
      </c>
      <c r="B1" s="97" t="s">
        <v>704</v>
      </c>
      <c r="C1" s="49"/>
      <c r="D1" s="49"/>
      <c r="E1" s="49"/>
      <c r="F1" s="49"/>
      <c r="G1" s="49"/>
    </row>
    <row r="2">
      <c r="A2" s="51" t="s">
        <v>14</v>
      </c>
      <c r="B2" s="51" t="s">
        <v>16</v>
      </c>
      <c r="C2" s="52" t="s">
        <v>18</v>
      </c>
      <c r="D2" s="52" t="s">
        <v>20</v>
      </c>
      <c r="E2" s="52" t="s">
        <v>219</v>
      </c>
      <c r="F2" s="52" t="s">
        <v>24</v>
      </c>
      <c r="G2" s="52" t="s">
        <v>26</v>
      </c>
    </row>
    <row r="3">
      <c r="A3" s="53" t="str">
        <f t="shared" ref="A3:A21" si="1">IF(B1&lt;&gt;"", "US-15-TC-" &amp; TEXT(COUNTA($B$3:B3), "00"), "")
</f>
        <v>US-15-TC-01</v>
      </c>
      <c r="B3" s="53" t="s">
        <v>705</v>
      </c>
      <c r="C3" s="54" t="s">
        <v>706</v>
      </c>
      <c r="D3" s="54" t="s">
        <v>707</v>
      </c>
      <c r="E3" s="55" t="s">
        <v>708</v>
      </c>
      <c r="F3" s="55" t="s">
        <v>53</v>
      </c>
      <c r="G3" s="55"/>
    </row>
    <row r="4">
      <c r="A4" s="53" t="str">
        <f t="shared" si="1"/>
        <v>US-15-TC-02</v>
      </c>
      <c r="B4" s="53" t="s">
        <v>709</v>
      </c>
      <c r="C4" s="54" t="s">
        <v>706</v>
      </c>
      <c r="D4" s="54" t="s">
        <v>710</v>
      </c>
      <c r="E4" s="55" t="s">
        <v>328</v>
      </c>
      <c r="F4" s="55" t="s">
        <v>53</v>
      </c>
      <c r="G4" s="55"/>
    </row>
    <row r="5">
      <c r="A5" s="53" t="str">
        <f t="shared" si="1"/>
        <v>US-15-TC-03</v>
      </c>
      <c r="B5" s="53" t="s">
        <v>711</v>
      </c>
      <c r="C5" s="54" t="s">
        <v>706</v>
      </c>
      <c r="D5" s="54" t="s">
        <v>712</v>
      </c>
      <c r="E5" s="127" t="s">
        <v>309</v>
      </c>
      <c r="F5" s="55" t="s">
        <v>53</v>
      </c>
      <c r="G5" s="56"/>
    </row>
    <row r="6">
      <c r="A6" s="53" t="str">
        <f t="shared" si="1"/>
        <v>US-15-TC-04</v>
      </c>
      <c r="B6" s="53" t="s">
        <v>713</v>
      </c>
      <c r="C6" s="54" t="s">
        <v>706</v>
      </c>
      <c r="D6" s="54" t="s">
        <v>714</v>
      </c>
      <c r="E6" s="55" t="s">
        <v>715</v>
      </c>
      <c r="F6" s="55" t="s">
        <v>53</v>
      </c>
      <c r="G6" s="55"/>
    </row>
    <row r="7">
      <c r="A7" s="53" t="str">
        <f t="shared" si="1"/>
        <v>US-15-TC-05</v>
      </c>
      <c r="B7" s="53" t="s">
        <v>716</v>
      </c>
      <c r="C7" s="54" t="s">
        <v>706</v>
      </c>
      <c r="D7" s="54" t="s">
        <v>717</v>
      </c>
      <c r="E7" s="55" t="s">
        <v>718</v>
      </c>
      <c r="F7" s="55" t="s">
        <v>53</v>
      </c>
      <c r="G7" s="56"/>
    </row>
    <row r="8">
      <c r="A8" s="53" t="str">
        <f t="shared" si="1"/>
        <v>US-15-TC-06</v>
      </c>
      <c r="B8" s="53" t="s">
        <v>719</v>
      </c>
      <c r="C8" s="54" t="s">
        <v>706</v>
      </c>
      <c r="D8" s="54" t="s">
        <v>720</v>
      </c>
      <c r="E8" s="55" t="s">
        <v>718</v>
      </c>
      <c r="F8" s="55" t="s">
        <v>51</v>
      </c>
      <c r="G8" s="55" t="s">
        <v>721</v>
      </c>
    </row>
    <row r="9">
      <c r="A9" s="53" t="str">
        <f t="shared" si="1"/>
        <v>US-15-TC-07</v>
      </c>
      <c r="B9" s="53" t="s">
        <v>722</v>
      </c>
      <c r="C9" s="54" t="s">
        <v>706</v>
      </c>
      <c r="D9" s="54" t="s">
        <v>723</v>
      </c>
      <c r="E9" s="55" t="s">
        <v>724</v>
      </c>
      <c r="F9" s="55" t="s">
        <v>50</v>
      </c>
      <c r="G9" s="56"/>
    </row>
    <row r="10">
      <c r="A10" s="53" t="str">
        <f t="shared" si="1"/>
        <v>US-15-TC-08</v>
      </c>
      <c r="B10" s="53" t="s">
        <v>725</v>
      </c>
      <c r="C10" s="54" t="s">
        <v>706</v>
      </c>
      <c r="D10" s="54" t="s">
        <v>726</v>
      </c>
      <c r="E10" s="55" t="s">
        <v>718</v>
      </c>
      <c r="F10" s="55" t="s">
        <v>50</v>
      </c>
      <c r="G10" s="56"/>
    </row>
    <row r="11">
      <c r="A11" s="53" t="str">
        <f t="shared" si="1"/>
        <v>US-15-TC-09</v>
      </c>
      <c r="B11" s="53" t="s">
        <v>727</v>
      </c>
      <c r="C11" s="54" t="s">
        <v>706</v>
      </c>
      <c r="D11" s="54" t="s">
        <v>726</v>
      </c>
      <c r="E11" s="55" t="s">
        <v>718</v>
      </c>
      <c r="F11" s="55" t="s">
        <v>50</v>
      </c>
      <c r="G11" s="56"/>
    </row>
    <row r="12">
      <c r="A12" s="53" t="str">
        <f t="shared" si="1"/>
        <v>US-15-TC-10</v>
      </c>
      <c r="B12" s="53" t="s">
        <v>728</v>
      </c>
      <c r="C12" s="54" t="s">
        <v>706</v>
      </c>
      <c r="D12" s="54" t="s">
        <v>729</v>
      </c>
      <c r="E12" s="55" t="s">
        <v>718</v>
      </c>
      <c r="F12" s="55" t="s">
        <v>50</v>
      </c>
      <c r="G12" s="56"/>
    </row>
    <row r="13">
      <c r="A13" s="53" t="str">
        <f t="shared" si="1"/>
        <v>US-15-TC-11</v>
      </c>
      <c r="B13" s="53" t="s">
        <v>730</v>
      </c>
      <c r="C13" s="54" t="s">
        <v>706</v>
      </c>
      <c r="D13" s="54" t="s">
        <v>729</v>
      </c>
      <c r="E13" s="55" t="s">
        <v>718</v>
      </c>
      <c r="F13" s="55" t="s">
        <v>50</v>
      </c>
      <c r="G13" s="56"/>
    </row>
    <row r="14">
      <c r="A14" s="53" t="str">
        <f t="shared" si="1"/>
        <v>US-15-TC-12</v>
      </c>
      <c r="B14" s="53" t="s">
        <v>731</v>
      </c>
      <c r="C14" s="54" t="s">
        <v>706</v>
      </c>
      <c r="D14" s="54" t="s">
        <v>732</v>
      </c>
      <c r="E14" s="55" t="s">
        <v>718</v>
      </c>
      <c r="F14" s="55" t="s">
        <v>50</v>
      </c>
      <c r="G14" s="56"/>
    </row>
    <row r="15">
      <c r="A15" s="53" t="str">
        <f t="shared" si="1"/>
        <v>US-15-TC-13</v>
      </c>
      <c r="B15" s="53" t="s">
        <v>733</v>
      </c>
      <c r="C15" s="54" t="s">
        <v>706</v>
      </c>
      <c r="D15" s="54" t="s">
        <v>734</v>
      </c>
      <c r="E15" s="55" t="s">
        <v>718</v>
      </c>
      <c r="F15" s="55" t="s">
        <v>50</v>
      </c>
      <c r="G15" s="56"/>
    </row>
    <row r="16">
      <c r="A16" s="53" t="str">
        <f t="shared" si="1"/>
        <v>US-15-TC-14</v>
      </c>
      <c r="B16" s="64" t="s">
        <v>735</v>
      </c>
      <c r="C16" s="54" t="s">
        <v>706</v>
      </c>
      <c r="D16" s="54" t="s">
        <v>734</v>
      </c>
      <c r="E16" s="55" t="s">
        <v>736</v>
      </c>
      <c r="F16" s="55" t="s">
        <v>50</v>
      </c>
      <c r="G16" s="56"/>
    </row>
    <row r="17">
      <c r="A17" s="53" t="str">
        <f t="shared" si="1"/>
        <v>US-15-TC-15</v>
      </c>
      <c r="B17" s="64" t="s">
        <v>737</v>
      </c>
      <c r="C17" s="54" t="s">
        <v>706</v>
      </c>
      <c r="D17" s="54" t="s">
        <v>738</v>
      </c>
      <c r="E17" s="55" t="s">
        <v>718</v>
      </c>
      <c r="F17" s="55" t="s">
        <v>50</v>
      </c>
      <c r="G17" s="56"/>
    </row>
    <row r="18">
      <c r="A18" s="53" t="str">
        <f t="shared" si="1"/>
        <v>US-15-TC-16</v>
      </c>
      <c r="B18" s="53" t="s">
        <v>739</v>
      </c>
      <c r="C18" s="54" t="s">
        <v>706</v>
      </c>
      <c r="D18" s="54" t="s">
        <v>740</v>
      </c>
      <c r="E18" s="55" t="s">
        <v>718</v>
      </c>
      <c r="F18" s="55" t="s">
        <v>50</v>
      </c>
      <c r="G18" s="56"/>
    </row>
    <row r="19">
      <c r="A19" s="53" t="str">
        <f t="shared" si="1"/>
        <v>US-15-TC-17</v>
      </c>
      <c r="B19" s="53" t="s">
        <v>741</v>
      </c>
      <c r="C19" s="54" t="s">
        <v>706</v>
      </c>
      <c r="D19" s="54" t="s">
        <v>742</v>
      </c>
      <c r="E19" s="55" t="s">
        <v>743</v>
      </c>
      <c r="F19" s="55" t="s">
        <v>50</v>
      </c>
      <c r="G19" s="56"/>
    </row>
    <row r="20">
      <c r="A20" s="53" t="str">
        <f t="shared" si="1"/>
        <v>US-15-TC-18</v>
      </c>
      <c r="B20" s="53" t="s">
        <v>744</v>
      </c>
      <c r="C20" s="54" t="s">
        <v>706</v>
      </c>
      <c r="D20" s="54" t="s">
        <v>745</v>
      </c>
      <c r="E20" s="55" t="s">
        <v>718</v>
      </c>
      <c r="F20" s="55" t="s">
        <v>50</v>
      </c>
      <c r="G20" s="56"/>
    </row>
    <row r="21">
      <c r="A21" s="53" t="str">
        <f t="shared" si="1"/>
        <v>US-15-TC-19</v>
      </c>
      <c r="B21" s="128" t="s">
        <v>746</v>
      </c>
      <c r="C21" s="54" t="s">
        <v>706</v>
      </c>
      <c r="D21" s="54" t="s">
        <v>747</v>
      </c>
      <c r="E21" s="55" t="s">
        <v>718</v>
      </c>
      <c r="F21" s="55" t="s">
        <v>50</v>
      </c>
      <c r="G21" s="129"/>
    </row>
    <row r="22">
      <c r="A22" s="76"/>
      <c r="B22" s="76"/>
      <c r="C22" s="75"/>
      <c r="D22" s="75"/>
      <c r="E22" s="76"/>
      <c r="F22" s="122"/>
      <c r="G22" s="77"/>
    </row>
    <row r="23">
      <c r="A23" s="71"/>
      <c r="B23" s="71"/>
      <c r="C23" s="72"/>
      <c r="D23" s="72"/>
      <c r="E23" s="71"/>
      <c r="F23" s="123"/>
      <c r="G23" s="73"/>
    </row>
    <row r="24">
      <c r="A24" s="76"/>
      <c r="B24" s="76"/>
      <c r="C24" s="75"/>
      <c r="D24" s="75"/>
      <c r="E24" s="76"/>
      <c r="F24" s="122"/>
      <c r="G24" s="77"/>
    </row>
    <row r="25">
      <c r="A25" s="71"/>
      <c r="B25" s="71"/>
      <c r="C25" s="72"/>
      <c r="D25" s="72"/>
      <c r="E25" s="71"/>
      <c r="F25" s="123"/>
      <c r="G25" s="73"/>
    </row>
    <row r="26">
      <c r="A26" s="76"/>
      <c r="B26" s="76"/>
      <c r="C26" s="75"/>
      <c r="D26" s="75"/>
      <c r="E26" s="76"/>
      <c r="F26" s="122"/>
      <c r="G26" s="77"/>
    </row>
    <row r="27">
      <c r="A27" s="71"/>
      <c r="B27" s="71"/>
      <c r="C27" s="72"/>
      <c r="D27" s="72"/>
      <c r="E27" s="71"/>
      <c r="F27" s="123"/>
      <c r="G27" s="73"/>
    </row>
    <row r="28">
      <c r="A28" s="76"/>
      <c r="B28" s="76"/>
      <c r="C28" s="75"/>
      <c r="D28" s="75"/>
      <c r="E28" s="76"/>
      <c r="F28" s="122"/>
      <c r="G28" s="77"/>
    </row>
    <row r="29">
      <c r="A29" s="71"/>
      <c r="B29" s="71"/>
      <c r="C29" s="72"/>
      <c r="D29" s="72"/>
      <c r="E29" s="71"/>
      <c r="F29" s="123"/>
      <c r="G29" s="73"/>
    </row>
    <row r="30">
      <c r="A30" s="76"/>
      <c r="B30" s="76"/>
      <c r="C30" s="75"/>
      <c r="D30" s="76"/>
      <c r="E30" s="76"/>
      <c r="F30" s="122"/>
      <c r="G30" s="77"/>
    </row>
    <row r="31">
      <c r="A31" s="71"/>
      <c r="B31" s="71"/>
      <c r="C31" s="72"/>
      <c r="D31" s="76"/>
      <c r="E31" s="71"/>
      <c r="F31" s="123"/>
      <c r="G31" s="73"/>
    </row>
    <row r="32">
      <c r="A32" s="76"/>
      <c r="B32" s="76"/>
      <c r="C32" s="75"/>
      <c r="D32" s="76"/>
      <c r="E32" s="76"/>
      <c r="F32" s="122"/>
      <c r="G32" s="77"/>
    </row>
    <row r="33">
      <c r="A33" s="53"/>
      <c r="B33" s="53"/>
      <c r="C33" s="54"/>
      <c r="D33" s="54"/>
      <c r="E33" s="55"/>
      <c r="F33" s="63"/>
      <c r="G33" s="56"/>
    </row>
    <row r="34">
      <c r="A34" s="53"/>
      <c r="B34" s="53"/>
      <c r="C34" s="54"/>
      <c r="D34" s="54"/>
      <c r="E34" s="55"/>
      <c r="F34" s="63"/>
      <c r="G34" s="56"/>
    </row>
    <row r="35">
      <c r="A35" s="53"/>
      <c r="B35" s="53"/>
      <c r="C35" s="54"/>
      <c r="D35" s="54"/>
      <c r="E35" s="55"/>
      <c r="F35" s="63"/>
      <c r="G35" s="56"/>
    </row>
    <row r="36">
      <c r="A36" s="53"/>
      <c r="B36" s="53"/>
      <c r="C36" s="54"/>
      <c r="D36" s="54"/>
      <c r="E36" s="55"/>
      <c r="F36" s="63"/>
      <c r="G36" s="56"/>
    </row>
    <row r="37">
      <c r="A37" s="53"/>
      <c r="B37" s="53"/>
      <c r="C37" s="54"/>
      <c r="D37" s="54"/>
      <c r="E37" s="55"/>
      <c r="F37" s="63"/>
      <c r="G37" s="56"/>
    </row>
    <row r="38">
      <c r="A38" s="53"/>
      <c r="B38" s="53"/>
      <c r="C38" s="54"/>
      <c r="D38" s="54"/>
      <c r="E38" s="55"/>
      <c r="F38" s="63"/>
      <c r="G38" s="56"/>
    </row>
    <row r="39">
      <c r="A39" s="53"/>
      <c r="B39" s="53"/>
      <c r="C39" s="54"/>
      <c r="D39" s="54"/>
      <c r="E39" s="55"/>
      <c r="F39" s="63"/>
      <c r="G39" s="56"/>
    </row>
    <row r="40">
      <c r="A40" s="53"/>
      <c r="B40" s="53"/>
      <c r="C40" s="54"/>
      <c r="D40" s="54"/>
      <c r="E40" s="55"/>
      <c r="F40" s="63"/>
      <c r="G40" s="56"/>
    </row>
    <row r="41">
      <c r="A41" s="53"/>
      <c r="B41" s="53"/>
      <c r="C41" s="54"/>
      <c r="D41" s="54"/>
      <c r="E41" s="55"/>
      <c r="F41" s="63"/>
      <c r="G41" s="56"/>
    </row>
    <row r="42">
      <c r="A42" s="53"/>
      <c r="B42" s="53"/>
      <c r="C42" s="54"/>
      <c r="D42" s="54"/>
      <c r="E42" s="55"/>
      <c r="F42" s="63"/>
      <c r="G42" s="56"/>
    </row>
  </sheetData>
  <dataValidations>
    <dataValidation type="list" allowBlank="1" sqref="F3:F21">
      <formula1>"OPEN,BLOCKED,PASSED,FAILED"</formula1>
    </dataValidation>
  </dataValidation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5.63"/>
    <col customWidth="1" min="2" max="2" width="61.13"/>
    <col customWidth="1" min="3" max="3" width="50.13"/>
    <col customWidth="1" min="4" max="4" width="48.38"/>
    <col customWidth="1" min="5" max="5" width="56.63"/>
    <col customWidth="1" min="6" max="6" width="21.63"/>
    <col customWidth="1" min="7" max="7" width="22.75"/>
  </cols>
  <sheetData>
    <row r="1">
      <c r="A1" s="47" t="s">
        <v>45</v>
      </c>
      <c r="B1" s="97" t="s">
        <v>748</v>
      </c>
      <c r="C1" s="49"/>
      <c r="D1" s="49"/>
      <c r="E1" s="49"/>
      <c r="F1" s="49"/>
      <c r="G1" s="49"/>
    </row>
    <row r="2">
      <c r="A2" s="51" t="s">
        <v>14</v>
      </c>
      <c r="B2" s="51" t="s">
        <v>16</v>
      </c>
      <c r="C2" s="52" t="s">
        <v>18</v>
      </c>
      <c r="D2" s="52" t="s">
        <v>20</v>
      </c>
      <c r="E2" s="52" t="s">
        <v>219</v>
      </c>
      <c r="F2" s="52" t="s">
        <v>24</v>
      </c>
      <c r="G2" s="52" t="s">
        <v>26</v>
      </c>
    </row>
    <row r="3">
      <c r="A3" s="99" t="str">
        <f t="shared" ref="A3:A7" si="1">IF(B1&lt;&gt;"", "US-16-TC-" &amp; TEXT(COUNTA($B$3:B3), "00"), "")
</f>
        <v>US-16-TC-01</v>
      </c>
      <c r="B3" s="99" t="s">
        <v>749</v>
      </c>
      <c r="C3" s="100" t="s">
        <v>750</v>
      </c>
      <c r="D3" s="100" t="s">
        <v>751</v>
      </c>
      <c r="E3" s="101" t="s">
        <v>718</v>
      </c>
      <c r="F3" s="55" t="s">
        <v>50</v>
      </c>
      <c r="G3" s="101"/>
    </row>
    <row r="4">
      <c r="A4" s="99" t="str">
        <f t="shared" si="1"/>
        <v>US-16-TC-02</v>
      </c>
      <c r="B4" s="99" t="s">
        <v>752</v>
      </c>
      <c r="C4" s="100" t="s">
        <v>750</v>
      </c>
      <c r="D4" s="100" t="s">
        <v>753</v>
      </c>
      <c r="E4" s="101" t="s">
        <v>718</v>
      </c>
      <c r="F4" s="55" t="s">
        <v>50</v>
      </c>
      <c r="G4" s="102"/>
    </row>
    <row r="5">
      <c r="A5" s="99" t="str">
        <f t="shared" si="1"/>
        <v>US-16-TC-03</v>
      </c>
      <c r="B5" s="99" t="s">
        <v>754</v>
      </c>
      <c r="C5" s="100" t="s">
        <v>750</v>
      </c>
      <c r="D5" s="100" t="s">
        <v>751</v>
      </c>
      <c r="E5" s="101" t="s">
        <v>755</v>
      </c>
      <c r="F5" s="55" t="s">
        <v>50</v>
      </c>
      <c r="G5" s="101" t="s">
        <v>62</v>
      </c>
    </row>
    <row r="6">
      <c r="A6" s="99" t="str">
        <f t="shared" si="1"/>
        <v>US-16-TC-04</v>
      </c>
      <c r="B6" s="103" t="s">
        <v>756</v>
      </c>
      <c r="C6" s="100" t="s">
        <v>750</v>
      </c>
      <c r="D6" s="100" t="s">
        <v>757</v>
      </c>
      <c r="E6" s="101" t="s">
        <v>758</v>
      </c>
      <c r="F6" s="55" t="s">
        <v>53</v>
      </c>
      <c r="G6" s="102"/>
    </row>
    <row r="7">
      <c r="A7" s="99" t="str">
        <f t="shared" si="1"/>
        <v>US-16-TC-04</v>
      </c>
      <c r="B7" s="130"/>
      <c r="C7" s="131"/>
      <c r="D7" s="131"/>
      <c r="E7" s="110"/>
      <c r="F7" s="132"/>
      <c r="G7" s="133"/>
    </row>
    <row r="8">
      <c r="A8" s="99"/>
      <c r="B8" s="134"/>
      <c r="C8" s="135"/>
      <c r="D8" s="135"/>
      <c r="E8" s="136"/>
      <c r="F8" s="137"/>
      <c r="G8" s="138"/>
    </row>
    <row r="9">
      <c r="A9" s="99"/>
      <c r="B9" s="130"/>
      <c r="C9" s="131"/>
      <c r="D9" s="131"/>
      <c r="E9" s="110"/>
      <c r="F9" s="132"/>
      <c r="G9" s="133"/>
    </row>
    <row r="10">
      <c r="A10" s="99"/>
      <c r="B10" s="134"/>
      <c r="C10" s="135"/>
      <c r="D10" s="135"/>
      <c r="E10" s="136"/>
      <c r="F10" s="137"/>
      <c r="G10" s="138"/>
    </row>
    <row r="11">
      <c r="A11" s="99"/>
      <c r="B11" s="130"/>
      <c r="C11" s="131"/>
      <c r="D11" s="131"/>
      <c r="E11" s="110"/>
      <c r="F11" s="132"/>
      <c r="G11" s="133"/>
    </row>
    <row r="12">
      <c r="A12" s="99"/>
      <c r="B12" s="134"/>
      <c r="C12" s="135"/>
      <c r="D12" s="135"/>
      <c r="E12" s="136"/>
      <c r="F12" s="137"/>
      <c r="G12" s="138"/>
    </row>
    <row r="13">
      <c r="A13" s="99"/>
      <c r="B13" s="130"/>
      <c r="C13" s="131"/>
      <c r="D13" s="131"/>
      <c r="E13" s="110"/>
      <c r="F13" s="132"/>
      <c r="G13" s="133"/>
    </row>
    <row r="14">
      <c r="A14" s="99"/>
      <c r="B14" s="134"/>
      <c r="C14" s="135"/>
      <c r="D14" s="135"/>
      <c r="E14" s="136"/>
      <c r="F14" s="137"/>
      <c r="G14" s="138"/>
    </row>
    <row r="15">
      <c r="A15" s="99"/>
      <c r="B15" s="130"/>
      <c r="C15" s="131"/>
      <c r="D15" s="131"/>
      <c r="E15" s="110"/>
      <c r="F15" s="132"/>
      <c r="G15" s="133"/>
    </row>
    <row r="16">
      <c r="A16" s="99"/>
      <c r="B16" s="134"/>
      <c r="C16" s="135"/>
      <c r="D16" s="135"/>
      <c r="E16" s="136"/>
      <c r="F16" s="137"/>
      <c r="G16" s="138"/>
    </row>
    <row r="17">
      <c r="A17" s="99"/>
      <c r="B17" s="130"/>
      <c r="C17" s="131"/>
      <c r="D17" s="131"/>
      <c r="E17" s="110"/>
      <c r="F17" s="132"/>
      <c r="G17" s="133"/>
    </row>
    <row r="18">
      <c r="A18" s="99"/>
      <c r="B18" s="134"/>
      <c r="C18" s="135"/>
      <c r="D18" s="135"/>
      <c r="E18" s="136"/>
      <c r="F18" s="137"/>
      <c r="G18" s="138"/>
    </row>
    <row r="19">
      <c r="A19" s="99"/>
      <c r="B19" s="130"/>
      <c r="C19" s="131"/>
      <c r="D19" s="131"/>
      <c r="E19" s="110"/>
      <c r="F19" s="132"/>
      <c r="G19" s="133"/>
    </row>
    <row r="20">
      <c r="A20" s="99"/>
      <c r="B20" s="134"/>
      <c r="C20" s="135"/>
      <c r="D20" s="135"/>
      <c r="E20" s="136"/>
      <c r="F20" s="137"/>
      <c r="G20" s="138"/>
    </row>
    <row r="21">
      <c r="A21" s="99"/>
      <c r="B21" s="130"/>
      <c r="C21" s="131"/>
      <c r="D21" s="131"/>
      <c r="E21" s="110"/>
      <c r="F21" s="132"/>
      <c r="G21" s="133"/>
    </row>
    <row r="22">
      <c r="A22" s="99"/>
      <c r="B22" s="134"/>
      <c r="C22" s="135"/>
      <c r="D22" s="135"/>
      <c r="E22" s="136"/>
      <c r="F22" s="137"/>
      <c r="G22" s="138"/>
    </row>
    <row r="23">
      <c r="A23" s="71"/>
      <c r="B23" s="71"/>
      <c r="C23" s="72"/>
      <c r="D23" s="72"/>
      <c r="E23" s="71"/>
      <c r="F23" s="123"/>
      <c r="G23" s="73"/>
    </row>
    <row r="24">
      <c r="A24" s="76"/>
      <c r="B24" s="76"/>
      <c r="C24" s="75"/>
      <c r="D24" s="75"/>
      <c r="E24" s="76"/>
      <c r="F24" s="122"/>
      <c r="G24" s="77"/>
    </row>
    <row r="25">
      <c r="A25" s="71"/>
      <c r="B25" s="71"/>
      <c r="C25" s="72"/>
      <c r="D25" s="72"/>
      <c r="E25" s="71"/>
      <c r="F25" s="123"/>
      <c r="G25" s="73"/>
    </row>
    <row r="26">
      <c r="A26" s="76"/>
      <c r="B26" s="76"/>
      <c r="C26" s="75"/>
      <c r="D26" s="75"/>
      <c r="E26" s="76"/>
      <c r="F26" s="122"/>
      <c r="G26" s="77"/>
    </row>
    <row r="27">
      <c r="A27" s="71"/>
      <c r="B27" s="71"/>
      <c r="C27" s="72"/>
      <c r="D27" s="72"/>
      <c r="E27" s="71"/>
      <c r="F27" s="123"/>
      <c r="G27" s="73"/>
    </row>
    <row r="28">
      <c r="A28" s="76"/>
      <c r="B28" s="76"/>
      <c r="C28" s="75"/>
      <c r="D28" s="75"/>
      <c r="E28" s="76"/>
      <c r="F28" s="122"/>
      <c r="G28" s="77"/>
    </row>
    <row r="29">
      <c r="A29" s="71"/>
      <c r="B29" s="71"/>
      <c r="C29" s="72"/>
      <c r="D29" s="72"/>
      <c r="E29" s="71"/>
      <c r="F29" s="123"/>
      <c r="G29" s="73"/>
    </row>
    <row r="30">
      <c r="A30" s="76"/>
      <c r="B30" s="76"/>
      <c r="C30" s="75"/>
      <c r="D30" s="76"/>
      <c r="E30" s="76"/>
      <c r="F30" s="122"/>
      <c r="G30" s="77"/>
    </row>
    <row r="31">
      <c r="A31" s="71"/>
      <c r="B31" s="71"/>
      <c r="C31" s="72"/>
      <c r="D31" s="76"/>
      <c r="E31" s="71"/>
      <c r="F31" s="123"/>
      <c r="G31" s="73"/>
    </row>
    <row r="32">
      <c r="A32" s="76"/>
      <c r="B32" s="76"/>
      <c r="C32" s="75"/>
      <c r="D32" s="76"/>
      <c r="E32" s="76"/>
      <c r="F32" s="122"/>
      <c r="G32" s="77"/>
    </row>
    <row r="33">
      <c r="A33" s="53"/>
      <c r="B33" s="53"/>
      <c r="C33" s="54"/>
      <c r="D33" s="54"/>
      <c r="E33" s="55"/>
      <c r="F33" s="63"/>
      <c r="G33" s="56"/>
    </row>
    <row r="34">
      <c r="A34" s="53"/>
      <c r="B34" s="53"/>
      <c r="C34" s="54"/>
      <c r="D34" s="54"/>
      <c r="E34" s="55"/>
      <c r="F34" s="63"/>
      <c r="G34" s="56"/>
    </row>
    <row r="35">
      <c r="A35" s="53"/>
      <c r="B35" s="53"/>
      <c r="C35" s="54"/>
      <c r="D35" s="54"/>
      <c r="E35" s="55"/>
      <c r="F35" s="63"/>
      <c r="G35" s="56"/>
    </row>
    <row r="36">
      <c r="A36" s="53"/>
      <c r="B36" s="53"/>
      <c r="C36" s="54"/>
      <c r="D36" s="54"/>
      <c r="E36" s="55"/>
      <c r="F36" s="63"/>
      <c r="G36" s="56"/>
    </row>
    <row r="37">
      <c r="A37" s="53"/>
      <c r="B37" s="53"/>
      <c r="C37" s="54"/>
      <c r="D37" s="54"/>
      <c r="E37" s="55"/>
      <c r="F37" s="63"/>
      <c r="G37" s="56"/>
    </row>
    <row r="38">
      <c r="A38" s="53"/>
      <c r="B38" s="53"/>
      <c r="C38" s="54"/>
      <c r="D38" s="54"/>
      <c r="E38" s="55"/>
      <c r="F38" s="63"/>
      <c r="G38" s="56"/>
    </row>
    <row r="39">
      <c r="A39" s="53"/>
      <c r="B39" s="53"/>
      <c r="C39" s="54"/>
      <c r="D39" s="54"/>
      <c r="E39" s="55"/>
      <c r="F39" s="63"/>
      <c r="G39" s="56"/>
    </row>
    <row r="40">
      <c r="A40" s="53"/>
      <c r="B40" s="53"/>
      <c r="C40" s="54"/>
      <c r="D40" s="54"/>
      <c r="E40" s="55"/>
      <c r="F40" s="63"/>
      <c r="G40" s="56"/>
    </row>
    <row r="41">
      <c r="A41" s="53"/>
      <c r="B41" s="53"/>
      <c r="C41" s="54"/>
      <c r="D41" s="54"/>
      <c r="E41" s="55"/>
      <c r="F41" s="63"/>
      <c r="G41" s="56"/>
    </row>
    <row r="42">
      <c r="A42" s="53"/>
      <c r="B42" s="53"/>
      <c r="C42" s="54"/>
      <c r="D42" s="54"/>
      <c r="E42" s="55"/>
      <c r="F42" s="63"/>
      <c r="G42" s="56"/>
    </row>
  </sheetData>
  <dataValidations>
    <dataValidation type="list" allowBlank="1" sqref="F3:F6">
      <formula1>"OPEN,BLOCKED,PASSED,FAILED"</formula1>
    </dataValidation>
  </dataValidation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4.75"/>
    <col customWidth="1" min="2" max="2" width="61.13"/>
    <col customWidth="1" min="3" max="3" width="50.13"/>
    <col customWidth="1" min="4" max="4" width="48.38"/>
    <col customWidth="1" min="5" max="5" width="56.63"/>
    <col customWidth="1" min="6" max="6" width="21.63"/>
    <col customWidth="1" min="7" max="7" width="22.75"/>
  </cols>
  <sheetData>
    <row r="1">
      <c r="A1" s="47" t="s">
        <v>46</v>
      </c>
      <c r="B1" s="97" t="s">
        <v>759</v>
      </c>
      <c r="C1" s="49"/>
      <c r="D1" s="49"/>
      <c r="E1" s="49"/>
      <c r="F1" s="49"/>
      <c r="G1" s="49"/>
      <c r="H1" s="50"/>
      <c r="I1" s="50"/>
      <c r="J1" s="50"/>
      <c r="K1" s="50"/>
      <c r="L1" s="50"/>
      <c r="M1" s="50"/>
      <c r="N1" s="50"/>
      <c r="O1" s="50"/>
      <c r="P1" s="50"/>
      <c r="Q1" s="50"/>
      <c r="R1" s="50"/>
      <c r="S1" s="50"/>
      <c r="T1" s="50"/>
      <c r="U1" s="50"/>
      <c r="V1" s="50"/>
      <c r="W1" s="50"/>
      <c r="X1" s="50"/>
      <c r="Y1" s="50"/>
      <c r="Z1" s="50"/>
    </row>
    <row r="2">
      <c r="A2" s="51" t="s">
        <v>14</v>
      </c>
      <c r="B2" s="51" t="s">
        <v>16</v>
      </c>
      <c r="C2" s="52" t="s">
        <v>18</v>
      </c>
      <c r="D2" s="52" t="s">
        <v>20</v>
      </c>
      <c r="E2" s="52" t="s">
        <v>219</v>
      </c>
      <c r="F2" s="52" t="s">
        <v>24</v>
      </c>
      <c r="G2" s="52" t="s">
        <v>26</v>
      </c>
      <c r="H2" s="50"/>
      <c r="I2" s="50"/>
      <c r="J2" s="50"/>
      <c r="K2" s="50"/>
      <c r="L2" s="50"/>
      <c r="M2" s="50"/>
      <c r="N2" s="50"/>
      <c r="O2" s="50"/>
      <c r="P2" s="50"/>
      <c r="Q2" s="50"/>
      <c r="R2" s="50"/>
      <c r="S2" s="50"/>
      <c r="T2" s="50"/>
      <c r="U2" s="50"/>
      <c r="V2" s="50"/>
      <c r="W2" s="50"/>
      <c r="X2" s="50"/>
      <c r="Y2" s="50"/>
      <c r="Z2" s="50"/>
    </row>
    <row r="3">
      <c r="A3" s="53" t="str">
        <f t="shared" ref="A3:A70" si="1">IF(B1&lt;&gt;"", "US-17-TC-" &amp; TEXT(COUNTA($B$3:B3), "00"), "")
</f>
        <v>US-17-TC-01</v>
      </c>
      <c r="B3" s="53" t="s">
        <v>760</v>
      </c>
      <c r="C3" s="54" t="s">
        <v>331</v>
      </c>
      <c r="D3" s="54" t="s">
        <v>761</v>
      </c>
      <c r="E3" s="55" t="s">
        <v>762</v>
      </c>
      <c r="F3" s="55" t="s">
        <v>50</v>
      </c>
      <c r="G3" s="55"/>
      <c r="H3" s="50"/>
      <c r="I3" s="50"/>
      <c r="J3" s="50"/>
      <c r="K3" s="50"/>
      <c r="L3" s="50"/>
      <c r="M3" s="50"/>
      <c r="N3" s="50"/>
      <c r="O3" s="50"/>
      <c r="P3" s="50"/>
      <c r="Q3" s="50"/>
      <c r="R3" s="50"/>
      <c r="S3" s="50"/>
      <c r="T3" s="50"/>
      <c r="U3" s="50"/>
      <c r="V3" s="50"/>
      <c r="W3" s="50"/>
      <c r="X3" s="50"/>
      <c r="Y3" s="50"/>
      <c r="Z3" s="50"/>
    </row>
    <row r="4">
      <c r="A4" s="53" t="str">
        <f t="shared" si="1"/>
        <v>US-17-TC-02</v>
      </c>
      <c r="B4" s="53" t="s">
        <v>334</v>
      </c>
      <c r="C4" s="54" t="s">
        <v>331</v>
      </c>
      <c r="D4" s="54" t="s">
        <v>761</v>
      </c>
      <c r="E4" s="55" t="s">
        <v>763</v>
      </c>
      <c r="F4" s="55" t="s">
        <v>50</v>
      </c>
      <c r="G4" s="55"/>
      <c r="H4" s="50"/>
      <c r="I4" s="50"/>
      <c r="J4" s="50"/>
      <c r="K4" s="50"/>
      <c r="L4" s="50"/>
      <c r="M4" s="50"/>
      <c r="N4" s="50"/>
      <c r="O4" s="50"/>
      <c r="P4" s="50"/>
      <c r="Q4" s="50"/>
      <c r="R4" s="50"/>
      <c r="S4" s="50"/>
      <c r="T4" s="50"/>
      <c r="U4" s="50"/>
      <c r="V4" s="50"/>
      <c r="W4" s="50"/>
      <c r="X4" s="50"/>
      <c r="Y4" s="50"/>
      <c r="Z4" s="50"/>
    </row>
    <row r="5">
      <c r="A5" s="53" t="str">
        <f t="shared" si="1"/>
        <v>US-17-TC-03</v>
      </c>
      <c r="B5" s="139" t="s">
        <v>764</v>
      </c>
      <c r="C5" s="140" t="s">
        <v>331</v>
      </c>
      <c r="D5" s="140" t="s">
        <v>765</v>
      </c>
      <c r="E5" s="141"/>
      <c r="F5" s="55" t="s">
        <v>50</v>
      </c>
      <c r="G5" s="141"/>
      <c r="H5" s="50"/>
      <c r="I5" s="50"/>
      <c r="J5" s="50"/>
      <c r="K5" s="50"/>
      <c r="L5" s="50"/>
      <c r="M5" s="50"/>
      <c r="N5" s="50"/>
      <c r="O5" s="50"/>
      <c r="P5" s="50"/>
      <c r="Q5" s="50"/>
      <c r="R5" s="50"/>
      <c r="S5" s="50"/>
      <c r="T5" s="50"/>
      <c r="U5" s="50"/>
      <c r="V5" s="50"/>
      <c r="W5" s="50"/>
      <c r="X5" s="50"/>
      <c r="Y5" s="50"/>
      <c r="Z5" s="50"/>
    </row>
    <row r="6">
      <c r="A6" s="53" t="str">
        <f t="shared" si="1"/>
        <v>US-17-TC-04</v>
      </c>
      <c r="B6" s="53" t="s">
        <v>632</v>
      </c>
      <c r="C6" s="54" t="s">
        <v>331</v>
      </c>
      <c r="D6" s="54" t="s">
        <v>456</v>
      </c>
      <c r="E6" s="55" t="s">
        <v>457</v>
      </c>
      <c r="F6" s="55" t="s">
        <v>50</v>
      </c>
      <c r="G6" s="56"/>
      <c r="H6" s="50"/>
      <c r="I6" s="50"/>
      <c r="J6" s="50"/>
      <c r="K6" s="50"/>
      <c r="L6" s="50"/>
      <c r="M6" s="50"/>
      <c r="N6" s="50"/>
      <c r="O6" s="50"/>
      <c r="P6" s="50"/>
      <c r="Q6" s="50"/>
      <c r="R6" s="50"/>
      <c r="S6" s="50"/>
      <c r="T6" s="50"/>
      <c r="U6" s="50"/>
      <c r="V6" s="50"/>
      <c r="W6" s="50"/>
      <c r="X6" s="50"/>
      <c r="Y6" s="50"/>
      <c r="Z6" s="50"/>
    </row>
    <row r="7">
      <c r="A7" s="53" t="str">
        <f t="shared" si="1"/>
        <v>US-17-TC-05</v>
      </c>
      <c r="B7" s="53" t="s">
        <v>342</v>
      </c>
      <c r="C7" s="54" t="s">
        <v>331</v>
      </c>
      <c r="D7" s="54" t="s">
        <v>458</v>
      </c>
      <c r="E7" s="55" t="s">
        <v>343</v>
      </c>
      <c r="F7" s="55" t="s">
        <v>50</v>
      </c>
      <c r="G7" s="56"/>
      <c r="H7" s="50"/>
      <c r="I7" s="50"/>
      <c r="J7" s="50"/>
      <c r="K7" s="50"/>
      <c r="L7" s="50"/>
      <c r="M7" s="50"/>
      <c r="N7" s="50"/>
      <c r="O7" s="50"/>
      <c r="P7" s="50"/>
      <c r="Q7" s="50"/>
      <c r="R7" s="50"/>
      <c r="S7" s="50"/>
      <c r="T7" s="50"/>
      <c r="U7" s="50"/>
      <c r="V7" s="50"/>
      <c r="W7" s="50"/>
      <c r="X7" s="50"/>
      <c r="Y7" s="50"/>
      <c r="Z7" s="50"/>
    </row>
    <row r="8">
      <c r="A8" s="53" t="str">
        <f t="shared" si="1"/>
        <v>US-17-TC-06</v>
      </c>
      <c r="B8" s="64" t="s">
        <v>344</v>
      </c>
      <c r="C8" s="54" t="s">
        <v>331</v>
      </c>
      <c r="D8" s="54" t="s">
        <v>459</v>
      </c>
      <c r="E8" s="55" t="s">
        <v>345</v>
      </c>
      <c r="F8" s="55" t="s">
        <v>50</v>
      </c>
      <c r="G8" s="56"/>
      <c r="H8" s="50"/>
      <c r="I8" s="50"/>
      <c r="J8" s="50"/>
      <c r="K8" s="50"/>
      <c r="L8" s="50"/>
      <c r="M8" s="50"/>
      <c r="N8" s="50"/>
      <c r="O8" s="50"/>
      <c r="P8" s="50"/>
      <c r="Q8" s="50"/>
      <c r="R8" s="50"/>
      <c r="S8" s="50"/>
      <c r="T8" s="50"/>
      <c r="U8" s="50"/>
      <c r="V8" s="50"/>
      <c r="W8" s="50"/>
      <c r="X8" s="50"/>
      <c r="Y8" s="50"/>
      <c r="Z8" s="50"/>
    </row>
    <row r="9">
      <c r="A9" s="53" t="str">
        <f t="shared" si="1"/>
        <v>US-17-TC-07</v>
      </c>
      <c r="B9" s="53" t="s">
        <v>346</v>
      </c>
      <c r="C9" s="54" t="s">
        <v>331</v>
      </c>
      <c r="D9" s="54" t="s">
        <v>460</v>
      </c>
      <c r="E9" s="55" t="s">
        <v>347</v>
      </c>
      <c r="F9" s="55" t="s">
        <v>50</v>
      </c>
      <c r="G9" s="56"/>
      <c r="H9" s="50"/>
      <c r="I9" s="50"/>
      <c r="J9" s="50"/>
      <c r="K9" s="50"/>
      <c r="L9" s="50"/>
      <c r="M9" s="50"/>
      <c r="N9" s="50"/>
      <c r="O9" s="50"/>
      <c r="P9" s="50"/>
      <c r="Q9" s="50"/>
      <c r="R9" s="50"/>
      <c r="S9" s="50"/>
      <c r="T9" s="50"/>
      <c r="U9" s="50"/>
      <c r="V9" s="50"/>
      <c r="W9" s="50"/>
      <c r="X9" s="50"/>
      <c r="Y9" s="50"/>
      <c r="Z9" s="50"/>
    </row>
    <row r="10">
      <c r="A10" s="53" t="str">
        <f t="shared" si="1"/>
        <v>US-17-TC-08</v>
      </c>
      <c r="B10" s="53" t="s">
        <v>461</v>
      </c>
      <c r="C10" s="54" t="s">
        <v>462</v>
      </c>
      <c r="D10" s="54" t="s">
        <v>456</v>
      </c>
      <c r="E10" s="55" t="s">
        <v>463</v>
      </c>
      <c r="F10" s="55" t="s">
        <v>50</v>
      </c>
      <c r="G10" s="55"/>
      <c r="H10" s="50"/>
      <c r="I10" s="50"/>
      <c r="J10" s="50"/>
      <c r="K10" s="50"/>
      <c r="L10" s="50"/>
      <c r="M10" s="50"/>
      <c r="N10" s="50"/>
      <c r="O10" s="50"/>
      <c r="P10" s="50"/>
      <c r="Q10" s="50"/>
      <c r="R10" s="50"/>
      <c r="S10" s="50"/>
      <c r="T10" s="50"/>
      <c r="U10" s="50"/>
      <c r="V10" s="50"/>
      <c r="W10" s="50"/>
      <c r="X10" s="50"/>
      <c r="Y10" s="50"/>
      <c r="Z10" s="50"/>
    </row>
    <row r="11">
      <c r="A11" s="53" t="str">
        <f t="shared" si="1"/>
        <v>US-17-TC-09</v>
      </c>
      <c r="B11" s="53" t="s">
        <v>464</v>
      </c>
      <c r="C11" s="54" t="s">
        <v>331</v>
      </c>
      <c r="D11" s="54" t="s">
        <v>465</v>
      </c>
      <c r="E11" s="55" t="s">
        <v>466</v>
      </c>
      <c r="F11" s="55" t="s">
        <v>50</v>
      </c>
      <c r="G11" s="55"/>
      <c r="H11" s="50"/>
      <c r="I11" s="50"/>
      <c r="J11" s="50"/>
      <c r="K11" s="50"/>
      <c r="L11" s="50"/>
      <c r="M11" s="50"/>
      <c r="N11" s="50"/>
      <c r="O11" s="50"/>
      <c r="P11" s="50"/>
      <c r="Q11" s="50"/>
      <c r="R11" s="50"/>
      <c r="S11" s="50"/>
      <c r="T11" s="50"/>
      <c r="U11" s="50"/>
      <c r="V11" s="50"/>
      <c r="W11" s="50"/>
      <c r="X11" s="50"/>
      <c r="Y11" s="50"/>
      <c r="Z11" s="50"/>
    </row>
    <row r="12">
      <c r="A12" s="53" t="str">
        <f t="shared" si="1"/>
        <v>US-17-TC-10</v>
      </c>
      <c r="B12" s="53" t="s">
        <v>467</v>
      </c>
      <c r="C12" s="54" t="s">
        <v>331</v>
      </c>
      <c r="D12" s="54" t="s">
        <v>468</v>
      </c>
      <c r="E12" s="55" t="s">
        <v>469</v>
      </c>
      <c r="F12" s="55" t="s">
        <v>50</v>
      </c>
      <c r="G12" s="56"/>
      <c r="H12" s="50"/>
      <c r="I12" s="50"/>
      <c r="J12" s="50"/>
      <c r="K12" s="50"/>
      <c r="L12" s="50"/>
      <c r="M12" s="50"/>
      <c r="N12" s="50"/>
      <c r="O12" s="50"/>
      <c r="P12" s="50"/>
      <c r="Q12" s="50"/>
      <c r="R12" s="50"/>
      <c r="S12" s="50"/>
      <c r="T12" s="50"/>
      <c r="U12" s="50"/>
      <c r="V12" s="50"/>
      <c r="W12" s="50"/>
      <c r="X12" s="50"/>
      <c r="Y12" s="50"/>
      <c r="Z12" s="50"/>
    </row>
    <row r="13">
      <c r="A13" s="53" t="str">
        <f t="shared" si="1"/>
        <v>US-17-TC-11</v>
      </c>
      <c r="B13" s="53" t="s">
        <v>348</v>
      </c>
      <c r="C13" s="54" t="s">
        <v>331</v>
      </c>
      <c r="D13" s="54" t="s">
        <v>470</v>
      </c>
      <c r="E13" s="55" t="s">
        <v>349</v>
      </c>
      <c r="F13" s="55" t="s">
        <v>50</v>
      </c>
      <c r="G13" s="56"/>
      <c r="H13" s="50"/>
      <c r="I13" s="50"/>
      <c r="J13" s="50"/>
      <c r="K13" s="50"/>
      <c r="L13" s="50"/>
      <c r="M13" s="50"/>
      <c r="N13" s="50"/>
      <c r="O13" s="50"/>
      <c r="P13" s="50"/>
      <c r="Q13" s="50"/>
      <c r="R13" s="50"/>
      <c r="S13" s="50"/>
      <c r="T13" s="50"/>
      <c r="U13" s="50"/>
      <c r="V13" s="50"/>
      <c r="W13" s="50"/>
      <c r="X13" s="50"/>
      <c r="Y13" s="50"/>
      <c r="Z13" s="50"/>
    </row>
    <row r="14">
      <c r="A14" s="53" t="str">
        <f t="shared" si="1"/>
        <v>US-17-TC-12</v>
      </c>
      <c r="B14" s="53" t="s">
        <v>471</v>
      </c>
      <c r="C14" s="54" t="s">
        <v>331</v>
      </c>
      <c r="D14" s="54" t="s">
        <v>351</v>
      </c>
      <c r="E14" s="55" t="s">
        <v>352</v>
      </c>
      <c r="F14" s="55" t="s">
        <v>50</v>
      </c>
      <c r="G14" s="56"/>
      <c r="H14" s="50"/>
      <c r="I14" s="50"/>
      <c r="J14" s="50"/>
      <c r="K14" s="50"/>
      <c r="L14" s="50"/>
      <c r="M14" s="50"/>
      <c r="N14" s="50"/>
      <c r="O14" s="50"/>
      <c r="P14" s="50"/>
      <c r="Q14" s="50"/>
      <c r="R14" s="50"/>
      <c r="S14" s="50"/>
      <c r="T14" s="50"/>
      <c r="U14" s="50"/>
      <c r="V14" s="50"/>
      <c r="W14" s="50"/>
      <c r="X14" s="50"/>
      <c r="Y14" s="50"/>
      <c r="Z14" s="50"/>
    </row>
    <row r="15">
      <c r="A15" s="53" t="str">
        <f t="shared" si="1"/>
        <v>US-17-TC-13</v>
      </c>
      <c r="B15" s="53" t="s">
        <v>472</v>
      </c>
      <c r="C15" s="54" t="s">
        <v>331</v>
      </c>
      <c r="D15" s="54" t="s">
        <v>355</v>
      </c>
      <c r="E15" s="55" t="s">
        <v>356</v>
      </c>
      <c r="F15" s="55" t="s">
        <v>50</v>
      </c>
      <c r="G15" s="56"/>
      <c r="H15" s="50"/>
      <c r="I15" s="50"/>
      <c r="J15" s="50"/>
      <c r="K15" s="50"/>
      <c r="L15" s="50"/>
      <c r="M15" s="50"/>
      <c r="N15" s="50"/>
      <c r="O15" s="50"/>
      <c r="P15" s="50"/>
      <c r="Q15" s="50"/>
      <c r="R15" s="50"/>
      <c r="S15" s="50"/>
      <c r="T15" s="50"/>
      <c r="U15" s="50"/>
      <c r="V15" s="50"/>
      <c r="W15" s="50"/>
      <c r="X15" s="50"/>
      <c r="Y15" s="50"/>
      <c r="Z15" s="50"/>
    </row>
    <row r="16">
      <c r="A16" s="53" t="str">
        <f t="shared" si="1"/>
        <v>US-17-TC-14</v>
      </c>
      <c r="B16" s="53" t="s">
        <v>473</v>
      </c>
      <c r="C16" s="54" t="s">
        <v>331</v>
      </c>
      <c r="D16" s="54" t="s">
        <v>358</v>
      </c>
      <c r="E16" s="55" t="s">
        <v>359</v>
      </c>
      <c r="F16" s="55" t="s">
        <v>50</v>
      </c>
      <c r="G16" s="56"/>
      <c r="H16" s="50"/>
      <c r="I16" s="50"/>
      <c r="J16" s="50"/>
      <c r="K16" s="50"/>
      <c r="L16" s="50"/>
      <c r="M16" s="50"/>
      <c r="N16" s="50"/>
      <c r="O16" s="50"/>
      <c r="P16" s="50"/>
      <c r="Q16" s="50"/>
      <c r="R16" s="50"/>
      <c r="S16" s="50"/>
      <c r="T16" s="50"/>
      <c r="U16" s="50"/>
      <c r="V16" s="50"/>
      <c r="W16" s="50"/>
      <c r="X16" s="50"/>
      <c r="Y16" s="50"/>
      <c r="Z16" s="50"/>
    </row>
    <row r="17">
      <c r="A17" s="53" t="str">
        <f t="shared" si="1"/>
        <v>US-17-TC-15</v>
      </c>
      <c r="B17" s="53" t="s">
        <v>474</v>
      </c>
      <c r="C17" s="54" t="s">
        <v>331</v>
      </c>
      <c r="D17" s="54" t="s">
        <v>361</v>
      </c>
      <c r="E17" s="55" t="s">
        <v>362</v>
      </c>
      <c r="F17" s="55" t="s">
        <v>50</v>
      </c>
      <c r="G17" s="56"/>
      <c r="H17" s="50"/>
      <c r="I17" s="50"/>
      <c r="J17" s="50"/>
      <c r="K17" s="50"/>
      <c r="L17" s="50"/>
      <c r="M17" s="50"/>
      <c r="N17" s="50"/>
      <c r="O17" s="50"/>
      <c r="P17" s="50"/>
      <c r="Q17" s="50"/>
      <c r="R17" s="50"/>
      <c r="S17" s="50"/>
      <c r="T17" s="50"/>
      <c r="U17" s="50"/>
      <c r="V17" s="50"/>
      <c r="W17" s="50"/>
      <c r="X17" s="50"/>
      <c r="Y17" s="50"/>
      <c r="Z17" s="50"/>
    </row>
    <row r="18">
      <c r="A18" s="53" t="str">
        <f t="shared" si="1"/>
        <v>US-17-TC-16</v>
      </c>
      <c r="B18" s="53" t="s">
        <v>475</v>
      </c>
      <c r="C18" s="54" t="s">
        <v>331</v>
      </c>
      <c r="D18" s="54" t="s">
        <v>365</v>
      </c>
      <c r="E18" s="55" t="s">
        <v>366</v>
      </c>
      <c r="F18" s="55" t="s">
        <v>50</v>
      </c>
      <c r="G18" s="56"/>
      <c r="H18" s="50"/>
      <c r="I18" s="50"/>
      <c r="J18" s="50"/>
      <c r="K18" s="50"/>
      <c r="L18" s="50"/>
      <c r="M18" s="50"/>
      <c r="N18" s="50"/>
      <c r="O18" s="50"/>
      <c r="P18" s="50"/>
      <c r="Q18" s="50"/>
      <c r="R18" s="50"/>
      <c r="S18" s="50"/>
      <c r="T18" s="50"/>
      <c r="U18" s="50"/>
      <c r="V18" s="50"/>
      <c r="W18" s="50"/>
      <c r="X18" s="50"/>
      <c r="Y18" s="50"/>
      <c r="Z18" s="50"/>
    </row>
    <row r="19">
      <c r="A19" s="53" t="str">
        <f t="shared" si="1"/>
        <v>US-17-TC-17</v>
      </c>
      <c r="B19" s="53" t="s">
        <v>476</v>
      </c>
      <c r="C19" s="54" t="s">
        <v>331</v>
      </c>
      <c r="D19" s="54" t="s">
        <v>368</v>
      </c>
      <c r="E19" s="55" t="s">
        <v>369</v>
      </c>
      <c r="F19" s="55" t="s">
        <v>50</v>
      </c>
      <c r="G19" s="56"/>
      <c r="H19" s="50"/>
      <c r="I19" s="50"/>
      <c r="J19" s="50"/>
      <c r="K19" s="50"/>
      <c r="L19" s="50"/>
      <c r="M19" s="50"/>
      <c r="N19" s="50"/>
      <c r="O19" s="50"/>
      <c r="P19" s="50"/>
      <c r="Q19" s="50"/>
      <c r="R19" s="50"/>
      <c r="S19" s="50"/>
      <c r="T19" s="50"/>
      <c r="U19" s="50"/>
      <c r="V19" s="50"/>
      <c r="W19" s="50"/>
      <c r="X19" s="50"/>
      <c r="Y19" s="50"/>
      <c r="Z19" s="50"/>
    </row>
    <row r="20">
      <c r="A20" s="53" t="str">
        <f t="shared" si="1"/>
        <v>US-17-TC-18</v>
      </c>
      <c r="B20" s="53" t="s">
        <v>477</v>
      </c>
      <c r="C20" s="54" t="s">
        <v>331</v>
      </c>
      <c r="D20" s="54" t="s">
        <v>371</v>
      </c>
      <c r="E20" s="55" t="s">
        <v>372</v>
      </c>
      <c r="F20" s="55" t="s">
        <v>50</v>
      </c>
      <c r="G20" s="56"/>
      <c r="H20" s="50"/>
      <c r="I20" s="50"/>
      <c r="J20" s="50"/>
      <c r="K20" s="50"/>
      <c r="L20" s="50"/>
      <c r="M20" s="50"/>
      <c r="N20" s="50"/>
      <c r="O20" s="50"/>
      <c r="P20" s="50"/>
      <c r="Q20" s="50"/>
      <c r="R20" s="50"/>
      <c r="S20" s="50"/>
      <c r="T20" s="50"/>
      <c r="U20" s="50"/>
      <c r="V20" s="50"/>
      <c r="W20" s="50"/>
      <c r="X20" s="50"/>
      <c r="Y20" s="50"/>
      <c r="Z20" s="50"/>
    </row>
    <row r="21">
      <c r="A21" s="53" t="str">
        <f t="shared" si="1"/>
        <v>US-17-TC-19</v>
      </c>
      <c r="B21" s="64" t="s">
        <v>478</v>
      </c>
      <c r="C21" s="54" t="s">
        <v>331</v>
      </c>
      <c r="D21" s="54" t="s">
        <v>375</v>
      </c>
      <c r="E21" s="55" t="s">
        <v>376</v>
      </c>
      <c r="F21" s="55" t="s">
        <v>50</v>
      </c>
      <c r="G21" s="56"/>
      <c r="H21" s="50"/>
      <c r="I21" s="50"/>
      <c r="J21" s="50"/>
      <c r="K21" s="50"/>
      <c r="L21" s="50"/>
      <c r="M21" s="50"/>
      <c r="N21" s="50"/>
      <c r="O21" s="50"/>
      <c r="P21" s="50"/>
      <c r="Q21" s="50"/>
      <c r="R21" s="50"/>
      <c r="S21" s="50"/>
      <c r="T21" s="50"/>
      <c r="U21" s="50"/>
      <c r="V21" s="50"/>
      <c r="W21" s="50"/>
      <c r="X21" s="50"/>
      <c r="Y21" s="50"/>
      <c r="Z21" s="50"/>
    </row>
    <row r="22">
      <c r="A22" s="53" t="str">
        <f t="shared" si="1"/>
        <v>US-17-TC-20</v>
      </c>
      <c r="B22" s="53" t="s">
        <v>480</v>
      </c>
      <c r="C22" s="54" t="s">
        <v>331</v>
      </c>
      <c r="D22" s="54" t="s">
        <v>379</v>
      </c>
      <c r="E22" s="55" t="s">
        <v>380</v>
      </c>
      <c r="F22" s="55" t="s">
        <v>50</v>
      </c>
      <c r="G22" s="56"/>
      <c r="H22" s="50"/>
      <c r="I22" s="50"/>
      <c r="J22" s="50"/>
      <c r="K22" s="50"/>
      <c r="L22" s="50"/>
      <c r="M22" s="50"/>
      <c r="N22" s="50"/>
      <c r="O22" s="50"/>
      <c r="P22" s="50"/>
      <c r="Q22" s="50"/>
      <c r="R22" s="50"/>
      <c r="S22" s="50"/>
      <c r="T22" s="50"/>
      <c r="U22" s="50"/>
      <c r="V22" s="50"/>
      <c r="W22" s="50"/>
      <c r="X22" s="50"/>
      <c r="Y22" s="50"/>
      <c r="Z22" s="50"/>
    </row>
    <row r="23">
      <c r="A23" s="53" t="str">
        <f t="shared" si="1"/>
        <v>US-17-TC-21</v>
      </c>
      <c r="B23" s="53" t="s">
        <v>481</v>
      </c>
      <c r="C23" s="54" t="s">
        <v>331</v>
      </c>
      <c r="D23" s="54" t="s">
        <v>383</v>
      </c>
      <c r="E23" s="55" t="s">
        <v>384</v>
      </c>
      <c r="F23" s="55" t="s">
        <v>50</v>
      </c>
      <c r="G23" s="56"/>
      <c r="H23" s="50"/>
      <c r="I23" s="50"/>
      <c r="J23" s="50"/>
      <c r="K23" s="50"/>
      <c r="L23" s="50"/>
      <c r="M23" s="50"/>
      <c r="N23" s="50"/>
      <c r="O23" s="50"/>
      <c r="P23" s="50"/>
      <c r="Q23" s="50"/>
      <c r="R23" s="50"/>
      <c r="S23" s="50"/>
      <c r="T23" s="50"/>
      <c r="U23" s="50"/>
      <c r="V23" s="50"/>
      <c r="W23" s="50"/>
      <c r="X23" s="50"/>
      <c r="Y23" s="50"/>
      <c r="Z23" s="50"/>
    </row>
    <row r="24">
      <c r="A24" s="53" t="str">
        <f t="shared" si="1"/>
        <v>US-17-TC-22</v>
      </c>
      <c r="B24" s="53" t="s">
        <v>482</v>
      </c>
      <c r="C24" s="54" t="s">
        <v>331</v>
      </c>
      <c r="D24" s="54" t="s">
        <v>386</v>
      </c>
      <c r="E24" s="55" t="s">
        <v>387</v>
      </c>
      <c r="F24" s="55" t="s">
        <v>50</v>
      </c>
      <c r="G24" s="56"/>
      <c r="H24" s="50"/>
      <c r="I24" s="50"/>
      <c r="J24" s="50"/>
      <c r="K24" s="50"/>
      <c r="L24" s="50"/>
      <c r="M24" s="50"/>
      <c r="N24" s="50"/>
      <c r="O24" s="50"/>
      <c r="P24" s="50"/>
      <c r="Q24" s="50"/>
      <c r="R24" s="50"/>
      <c r="S24" s="50"/>
      <c r="T24" s="50"/>
      <c r="U24" s="50"/>
      <c r="V24" s="50"/>
      <c r="W24" s="50"/>
      <c r="X24" s="50"/>
      <c r="Y24" s="50"/>
      <c r="Z24" s="50"/>
    </row>
    <row r="25">
      <c r="A25" s="53" t="str">
        <f t="shared" si="1"/>
        <v>US-17-TC-23</v>
      </c>
      <c r="B25" s="53" t="s">
        <v>388</v>
      </c>
      <c r="C25" s="54" t="s">
        <v>331</v>
      </c>
      <c r="D25" s="54" t="s">
        <v>389</v>
      </c>
      <c r="E25" s="55" t="s">
        <v>390</v>
      </c>
      <c r="F25" s="55" t="s">
        <v>50</v>
      </c>
      <c r="G25" s="56"/>
      <c r="H25" s="50"/>
      <c r="I25" s="50"/>
      <c r="J25" s="50"/>
      <c r="K25" s="50"/>
      <c r="L25" s="50"/>
      <c r="M25" s="50"/>
      <c r="N25" s="50"/>
      <c r="O25" s="50"/>
      <c r="P25" s="50"/>
      <c r="Q25" s="50"/>
      <c r="R25" s="50"/>
      <c r="S25" s="50"/>
      <c r="T25" s="50"/>
      <c r="U25" s="50"/>
      <c r="V25" s="50"/>
      <c r="W25" s="50"/>
      <c r="X25" s="50"/>
      <c r="Y25" s="50"/>
      <c r="Z25" s="50"/>
    </row>
    <row r="26">
      <c r="A26" s="53" t="str">
        <f t="shared" si="1"/>
        <v>US-17-TC-24</v>
      </c>
      <c r="B26" s="53" t="s">
        <v>392</v>
      </c>
      <c r="C26" s="54" t="s">
        <v>331</v>
      </c>
      <c r="D26" s="54" t="s">
        <v>393</v>
      </c>
      <c r="E26" s="55" t="s">
        <v>394</v>
      </c>
      <c r="F26" s="55" t="s">
        <v>50</v>
      </c>
      <c r="G26" s="56"/>
      <c r="H26" s="50"/>
      <c r="I26" s="50"/>
      <c r="J26" s="50"/>
      <c r="K26" s="50"/>
      <c r="L26" s="50"/>
      <c r="M26" s="50"/>
      <c r="N26" s="50"/>
      <c r="O26" s="50"/>
      <c r="P26" s="50"/>
      <c r="Q26" s="50"/>
      <c r="R26" s="50"/>
      <c r="S26" s="50"/>
      <c r="T26" s="50"/>
      <c r="U26" s="50"/>
      <c r="V26" s="50"/>
      <c r="W26" s="50"/>
      <c r="X26" s="50"/>
      <c r="Y26" s="50"/>
      <c r="Z26" s="50"/>
    </row>
    <row r="27">
      <c r="A27" s="53" t="str">
        <f t="shared" si="1"/>
        <v>US-17-TC-25</v>
      </c>
      <c r="B27" s="53" t="s">
        <v>633</v>
      </c>
      <c r="C27" s="54" t="s">
        <v>331</v>
      </c>
      <c r="D27" s="54" t="s">
        <v>397</v>
      </c>
      <c r="E27" s="55" t="s">
        <v>398</v>
      </c>
      <c r="F27" s="55" t="s">
        <v>50</v>
      </c>
      <c r="G27" s="56"/>
      <c r="H27" s="50"/>
      <c r="I27" s="50"/>
      <c r="J27" s="50"/>
      <c r="K27" s="50"/>
      <c r="L27" s="50"/>
      <c r="M27" s="50"/>
      <c r="N27" s="50"/>
      <c r="O27" s="50"/>
      <c r="P27" s="50"/>
      <c r="Q27" s="50"/>
      <c r="R27" s="50"/>
      <c r="S27" s="50"/>
      <c r="T27" s="50"/>
      <c r="U27" s="50"/>
      <c r="V27" s="50"/>
      <c r="W27" s="50"/>
      <c r="X27" s="50"/>
      <c r="Y27" s="50"/>
      <c r="Z27" s="50"/>
    </row>
    <row r="28">
      <c r="A28" s="53" t="str">
        <f t="shared" si="1"/>
        <v>US-17-TC-26</v>
      </c>
      <c r="B28" s="53" t="s">
        <v>399</v>
      </c>
      <c r="C28" s="54" t="s">
        <v>331</v>
      </c>
      <c r="D28" s="54" t="s">
        <v>400</v>
      </c>
      <c r="E28" s="55" t="s">
        <v>401</v>
      </c>
      <c r="F28" s="55" t="s">
        <v>50</v>
      </c>
      <c r="G28" s="56"/>
      <c r="H28" s="50"/>
      <c r="I28" s="50"/>
      <c r="J28" s="50"/>
      <c r="K28" s="50"/>
      <c r="L28" s="50"/>
      <c r="M28" s="50"/>
      <c r="N28" s="50"/>
      <c r="O28" s="50"/>
      <c r="P28" s="50"/>
      <c r="Q28" s="50"/>
      <c r="R28" s="50"/>
      <c r="S28" s="50"/>
      <c r="T28" s="50"/>
      <c r="U28" s="50"/>
      <c r="V28" s="50"/>
      <c r="W28" s="50"/>
      <c r="X28" s="50"/>
      <c r="Y28" s="50"/>
      <c r="Z28" s="50"/>
    </row>
    <row r="29">
      <c r="A29" s="53" t="str">
        <f t="shared" si="1"/>
        <v>US-17-TC-27</v>
      </c>
      <c r="B29" s="53" t="s">
        <v>402</v>
      </c>
      <c r="C29" s="54" t="s">
        <v>331</v>
      </c>
      <c r="D29" s="54" t="s">
        <v>403</v>
      </c>
      <c r="E29" s="55" t="s">
        <v>404</v>
      </c>
      <c r="F29" s="55" t="s">
        <v>50</v>
      </c>
      <c r="G29" s="56"/>
      <c r="H29" s="50"/>
      <c r="I29" s="50"/>
      <c r="J29" s="50"/>
      <c r="K29" s="50"/>
      <c r="L29" s="50"/>
      <c r="M29" s="50"/>
      <c r="N29" s="50"/>
      <c r="O29" s="50"/>
      <c r="P29" s="50"/>
      <c r="Q29" s="50"/>
      <c r="R29" s="50"/>
      <c r="S29" s="50"/>
      <c r="T29" s="50"/>
      <c r="U29" s="50"/>
      <c r="V29" s="50"/>
      <c r="W29" s="50"/>
      <c r="X29" s="50"/>
      <c r="Y29" s="50"/>
      <c r="Z29" s="50"/>
    </row>
    <row r="30">
      <c r="A30" s="53" t="str">
        <f t="shared" si="1"/>
        <v>US-17-TC-28</v>
      </c>
      <c r="B30" s="142" t="s">
        <v>405</v>
      </c>
      <c r="C30" s="143" t="s">
        <v>331</v>
      </c>
      <c r="D30" s="62" t="s">
        <v>406</v>
      </c>
      <c r="E30" s="55" t="s">
        <v>407</v>
      </c>
      <c r="F30" s="55" t="s">
        <v>50</v>
      </c>
      <c r="G30" s="144"/>
      <c r="H30" s="50"/>
      <c r="I30" s="50"/>
      <c r="J30" s="50"/>
      <c r="K30" s="50"/>
      <c r="L30" s="50"/>
      <c r="M30" s="50"/>
      <c r="N30" s="50"/>
      <c r="O30" s="50"/>
      <c r="P30" s="50"/>
      <c r="Q30" s="50"/>
      <c r="R30" s="50"/>
      <c r="S30" s="50"/>
      <c r="T30" s="50"/>
      <c r="U30" s="50"/>
      <c r="V30" s="50"/>
      <c r="W30" s="50"/>
      <c r="X30" s="50"/>
      <c r="Y30" s="50"/>
      <c r="Z30" s="50"/>
    </row>
    <row r="31">
      <c r="A31" s="53" t="str">
        <f t="shared" si="1"/>
        <v>US-17-TC-29</v>
      </c>
      <c r="B31" s="53" t="s">
        <v>410</v>
      </c>
      <c r="C31" s="54" t="s">
        <v>331</v>
      </c>
      <c r="D31" s="62" t="s">
        <v>411</v>
      </c>
      <c r="E31" s="55" t="s">
        <v>412</v>
      </c>
      <c r="F31" s="55" t="s">
        <v>50</v>
      </c>
      <c r="G31" s="56"/>
      <c r="H31" s="50"/>
      <c r="I31" s="50"/>
      <c r="J31" s="50"/>
      <c r="K31" s="50"/>
      <c r="L31" s="50"/>
      <c r="M31" s="50"/>
      <c r="N31" s="50"/>
      <c r="O31" s="50"/>
      <c r="P31" s="50"/>
      <c r="Q31" s="50"/>
      <c r="R31" s="50"/>
      <c r="S31" s="50"/>
      <c r="T31" s="50"/>
      <c r="U31" s="50"/>
      <c r="V31" s="50"/>
      <c r="W31" s="50"/>
      <c r="X31" s="50"/>
      <c r="Y31" s="50"/>
      <c r="Z31" s="50"/>
    </row>
    <row r="32">
      <c r="A32" s="53" t="str">
        <f t="shared" si="1"/>
        <v>US-17-TC-30</v>
      </c>
      <c r="B32" s="53" t="s">
        <v>486</v>
      </c>
      <c r="C32" s="54" t="s">
        <v>331</v>
      </c>
      <c r="D32" s="62" t="s">
        <v>487</v>
      </c>
      <c r="E32" s="55" t="s">
        <v>488</v>
      </c>
      <c r="F32" s="55" t="s">
        <v>50</v>
      </c>
      <c r="G32" s="56"/>
      <c r="H32" s="50"/>
      <c r="I32" s="50"/>
      <c r="J32" s="50"/>
      <c r="K32" s="50"/>
      <c r="L32" s="50"/>
      <c r="M32" s="50"/>
      <c r="N32" s="50"/>
      <c r="O32" s="50"/>
      <c r="P32" s="50"/>
      <c r="Q32" s="50"/>
      <c r="R32" s="50"/>
      <c r="S32" s="50"/>
      <c r="T32" s="50"/>
      <c r="U32" s="50"/>
      <c r="V32" s="50"/>
      <c r="W32" s="50"/>
      <c r="X32" s="50"/>
      <c r="Y32" s="50"/>
      <c r="Z32" s="50"/>
    </row>
    <row r="33">
      <c r="A33" s="53" t="str">
        <f t="shared" si="1"/>
        <v>US-17-TC-31</v>
      </c>
      <c r="B33" s="53" t="s">
        <v>507</v>
      </c>
      <c r="C33" s="54" t="s">
        <v>331</v>
      </c>
      <c r="D33" s="62" t="s">
        <v>766</v>
      </c>
      <c r="E33" s="55" t="s">
        <v>509</v>
      </c>
      <c r="F33" s="55" t="s">
        <v>50</v>
      </c>
      <c r="G33" s="56"/>
      <c r="H33" s="50"/>
      <c r="I33" s="50"/>
      <c r="J33" s="50"/>
      <c r="K33" s="50"/>
      <c r="L33" s="50"/>
      <c r="M33" s="50"/>
      <c r="N33" s="50"/>
      <c r="O33" s="50"/>
      <c r="P33" s="50"/>
      <c r="Q33" s="50"/>
      <c r="R33" s="50"/>
      <c r="S33" s="50"/>
      <c r="T33" s="50"/>
      <c r="U33" s="50"/>
      <c r="V33" s="50"/>
      <c r="W33" s="50"/>
      <c r="X33" s="50"/>
      <c r="Y33" s="50"/>
      <c r="Z33" s="50"/>
    </row>
    <row r="34" ht="231.75" customHeight="1">
      <c r="A34" s="53" t="str">
        <f t="shared" si="1"/>
        <v>US-17-TC-32</v>
      </c>
      <c r="B34" s="53" t="s">
        <v>510</v>
      </c>
      <c r="C34" s="54" t="s">
        <v>331</v>
      </c>
      <c r="D34" s="62" t="s">
        <v>766</v>
      </c>
      <c r="E34" s="55" t="s">
        <v>509</v>
      </c>
      <c r="F34" s="55" t="s">
        <v>50</v>
      </c>
      <c r="G34" s="56"/>
      <c r="H34" s="50"/>
      <c r="I34" s="50"/>
      <c r="J34" s="50"/>
      <c r="K34" s="50"/>
      <c r="L34" s="50"/>
      <c r="M34" s="50"/>
      <c r="N34" s="50"/>
      <c r="O34" s="50"/>
      <c r="P34" s="50"/>
      <c r="Q34" s="50"/>
      <c r="R34" s="50"/>
      <c r="S34" s="50"/>
      <c r="T34" s="50"/>
      <c r="U34" s="50"/>
      <c r="V34" s="50"/>
      <c r="W34" s="50"/>
      <c r="X34" s="50"/>
      <c r="Y34" s="50"/>
      <c r="Z34" s="50"/>
    </row>
    <row r="35">
      <c r="A35" s="53" t="str">
        <f t="shared" si="1"/>
        <v>US-17-TC-33</v>
      </c>
      <c r="B35" s="53" t="s">
        <v>511</v>
      </c>
      <c r="C35" s="54" t="s">
        <v>331</v>
      </c>
      <c r="D35" s="62" t="s">
        <v>767</v>
      </c>
      <c r="E35" s="55" t="s">
        <v>512</v>
      </c>
      <c r="F35" s="55" t="s">
        <v>50</v>
      </c>
      <c r="G35" s="56"/>
      <c r="H35" s="50"/>
      <c r="I35" s="50"/>
      <c r="J35" s="50"/>
      <c r="K35" s="50"/>
      <c r="L35" s="50"/>
      <c r="M35" s="50"/>
      <c r="N35" s="50"/>
      <c r="O35" s="50"/>
      <c r="P35" s="50"/>
      <c r="Q35" s="50"/>
      <c r="R35" s="50"/>
      <c r="S35" s="50"/>
      <c r="T35" s="50"/>
      <c r="U35" s="50"/>
      <c r="V35" s="50"/>
      <c r="W35" s="50"/>
      <c r="X35" s="50"/>
      <c r="Y35" s="50"/>
      <c r="Z35" s="50"/>
    </row>
    <row r="36">
      <c r="A36" s="53" t="str">
        <f t="shared" si="1"/>
        <v>US-17-TC-34</v>
      </c>
      <c r="B36" s="53" t="s">
        <v>513</v>
      </c>
      <c r="C36" s="54" t="s">
        <v>331</v>
      </c>
      <c r="D36" s="62" t="s">
        <v>768</v>
      </c>
      <c r="E36" s="55" t="s">
        <v>514</v>
      </c>
      <c r="F36" s="55" t="s">
        <v>50</v>
      </c>
      <c r="G36" s="56"/>
      <c r="H36" s="50"/>
      <c r="I36" s="50"/>
      <c r="J36" s="50"/>
      <c r="K36" s="50"/>
      <c r="L36" s="50"/>
      <c r="M36" s="50"/>
      <c r="N36" s="50"/>
      <c r="O36" s="50"/>
      <c r="P36" s="50"/>
      <c r="Q36" s="50"/>
      <c r="R36" s="50"/>
      <c r="S36" s="50"/>
      <c r="T36" s="50"/>
      <c r="U36" s="50"/>
      <c r="V36" s="50"/>
      <c r="W36" s="50"/>
      <c r="X36" s="50"/>
      <c r="Y36" s="50"/>
      <c r="Z36" s="50"/>
    </row>
    <row r="37">
      <c r="A37" s="53" t="str">
        <f t="shared" si="1"/>
        <v>US-17-TC-35</v>
      </c>
      <c r="B37" s="53" t="s">
        <v>515</v>
      </c>
      <c r="C37" s="54" t="s">
        <v>331</v>
      </c>
      <c r="D37" s="62" t="s">
        <v>769</v>
      </c>
      <c r="E37" s="55" t="s">
        <v>509</v>
      </c>
      <c r="F37" s="55" t="s">
        <v>50</v>
      </c>
      <c r="G37" s="56"/>
      <c r="H37" s="50"/>
      <c r="I37" s="50"/>
      <c r="J37" s="50"/>
      <c r="K37" s="50"/>
      <c r="L37" s="50"/>
      <c r="M37" s="50"/>
      <c r="N37" s="50"/>
      <c r="O37" s="50"/>
      <c r="P37" s="50"/>
      <c r="Q37" s="50"/>
      <c r="R37" s="50"/>
      <c r="S37" s="50"/>
      <c r="T37" s="50"/>
      <c r="U37" s="50"/>
      <c r="V37" s="50"/>
      <c r="W37" s="50"/>
      <c r="X37" s="50"/>
      <c r="Y37" s="50"/>
      <c r="Z37" s="50"/>
    </row>
    <row r="38">
      <c r="A38" s="53" t="str">
        <f t="shared" si="1"/>
        <v>US-17-TC-36</v>
      </c>
      <c r="B38" s="53" t="s">
        <v>516</v>
      </c>
      <c r="C38" s="54" t="s">
        <v>331</v>
      </c>
      <c r="D38" s="62" t="s">
        <v>770</v>
      </c>
      <c r="E38" s="55" t="s">
        <v>517</v>
      </c>
      <c r="F38" s="55" t="s">
        <v>50</v>
      </c>
      <c r="G38" s="56"/>
      <c r="H38" s="50"/>
      <c r="I38" s="50"/>
      <c r="J38" s="50"/>
      <c r="K38" s="50"/>
      <c r="L38" s="50"/>
      <c r="M38" s="50"/>
      <c r="N38" s="50"/>
      <c r="O38" s="50"/>
      <c r="P38" s="50"/>
      <c r="Q38" s="50"/>
      <c r="R38" s="50"/>
      <c r="S38" s="50"/>
      <c r="T38" s="50"/>
      <c r="U38" s="50"/>
      <c r="V38" s="50"/>
      <c r="W38" s="50"/>
      <c r="X38" s="50"/>
      <c r="Y38" s="50"/>
      <c r="Z38" s="50"/>
    </row>
    <row r="39">
      <c r="A39" s="53" t="str">
        <f t="shared" si="1"/>
        <v>US-17-TC-37</v>
      </c>
      <c r="B39" s="53" t="s">
        <v>518</v>
      </c>
      <c r="C39" s="54" t="s">
        <v>331</v>
      </c>
      <c r="D39" s="62" t="s">
        <v>771</v>
      </c>
      <c r="E39" s="55" t="s">
        <v>519</v>
      </c>
      <c r="F39" s="55" t="s">
        <v>50</v>
      </c>
      <c r="G39" s="56"/>
    </row>
    <row r="40">
      <c r="A40" s="53" t="str">
        <f t="shared" si="1"/>
        <v>US-17-TC-38</v>
      </c>
      <c r="B40" s="53" t="s">
        <v>520</v>
      </c>
      <c r="C40" s="54" t="s">
        <v>331</v>
      </c>
      <c r="D40" s="62" t="s">
        <v>772</v>
      </c>
      <c r="E40" s="55" t="s">
        <v>509</v>
      </c>
      <c r="F40" s="55" t="s">
        <v>50</v>
      </c>
      <c r="G40" s="56"/>
    </row>
    <row r="41">
      <c r="A41" s="53" t="str">
        <f t="shared" si="1"/>
        <v>US-17-TC-39</v>
      </c>
      <c r="B41" s="53" t="s">
        <v>521</v>
      </c>
      <c r="C41" s="54" t="s">
        <v>331</v>
      </c>
      <c r="D41" s="62" t="s">
        <v>773</v>
      </c>
      <c r="E41" s="55" t="s">
        <v>522</v>
      </c>
      <c r="F41" s="55" t="s">
        <v>50</v>
      </c>
      <c r="G41" s="56"/>
    </row>
    <row r="42">
      <c r="A42" s="53" t="str">
        <f t="shared" si="1"/>
        <v>US-17-TC-40</v>
      </c>
      <c r="B42" s="53" t="s">
        <v>523</v>
      </c>
      <c r="C42" s="54" t="s">
        <v>331</v>
      </c>
      <c r="D42" s="62" t="s">
        <v>774</v>
      </c>
      <c r="E42" s="55" t="s">
        <v>524</v>
      </c>
      <c r="F42" s="55" t="s">
        <v>50</v>
      </c>
      <c r="G42" s="56"/>
    </row>
    <row r="43">
      <c r="A43" s="53" t="str">
        <f t="shared" si="1"/>
        <v>US-17-TC-41</v>
      </c>
      <c r="B43" s="53" t="s">
        <v>525</v>
      </c>
      <c r="C43" s="54" t="s">
        <v>331</v>
      </c>
      <c r="D43" s="62" t="s">
        <v>775</v>
      </c>
      <c r="E43" s="55" t="s">
        <v>509</v>
      </c>
      <c r="F43" s="55" t="s">
        <v>50</v>
      </c>
      <c r="G43" s="56"/>
    </row>
    <row r="44">
      <c r="A44" s="53" t="str">
        <f t="shared" si="1"/>
        <v>US-17-TC-42</v>
      </c>
      <c r="B44" s="53" t="s">
        <v>533</v>
      </c>
      <c r="C44" s="54" t="s">
        <v>331</v>
      </c>
      <c r="D44" s="62" t="s">
        <v>776</v>
      </c>
      <c r="E44" s="55" t="s">
        <v>509</v>
      </c>
      <c r="F44" s="55" t="s">
        <v>50</v>
      </c>
      <c r="G44" s="56"/>
    </row>
    <row r="45">
      <c r="A45" s="53" t="str">
        <f t="shared" si="1"/>
        <v>US-17-TC-43</v>
      </c>
      <c r="B45" s="53" t="s">
        <v>541</v>
      </c>
      <c r="C45" s="54" t="s">
        <v>331</v>
      </c>
      <c r="D45" s="62" t="s">
        <v>777</v>
      </c>
      <c r="E45" s="55" t="s">
        <v>509</v>
      </c>
      <c r="F45" s="55" t="s">
        <v>50</v>
      </c>
      <c r="G45" s="56"/>
    </row>
    <row r="46">
      <c r="A46" s="53" t="str">
        <f t="shared" si="1"/>
        <v>US-17-TC-44</v>
      </c>
      <c r="B46" s="64" t="s">
        <v>554</v>
      </c>
      <c r="C46" s="54" t="s">
        <v>331</v>
      </c>
      <c r="D46" s="62" t="s">
        <v>778</v>
      </c>
      <c r="E46" s="55" t="s">
        <v>509</v>
      </c>
      <c r="F46" s="55" t="s">
        <v>50</v>
      </c>
      <c r="G46" s="56"/>
    </row>
    <row r="47">
      <c r="A47" s="53" t="str">
        <f t="shared" si="1"/>
        <v>US-17-TC-45</v>
      </c>
      <c r="B47" s="53" t="s">
        <v>555</v>
      </c>
      <c r="C47" s="54" t="s">
        <v>331</v>
      </c>
      <c r="D47" s="62" t="s">
        <v>779</v>
      </c>
      <c r="E47" s="55" t="s">
        <v>556</v>
      </c>
      <c r="F47" s="55" t="s">
        <v>50</v>
      </c>
      <c r="G47" s="56"/>
    </row>
    <row r="48">
      <c r="A48" s="53" t="str">
        <f t="shared" si="1"/>
        <v>US-17-TC-46</v>
      </c>
      <c r="B48" s="64" t="s">
        <v>557</v>
      </c>
      <c r="C48" s="54" t="s">
        <v>331</v>
      </c>
      <c r="D48" s="62" t="s">
        <v>780</v>
      </c>
      <c r="E48" s="55" t="s">
        <v>558</v>
      </c>
      <c r="F48" s="55" t="s">
        <v>50</v>
      </c>
      <c r="G48" s="56"/>
    </row>
    <row r="49">
      <c r="A49" s="53" t="str">
        <f t="shared" si="1"/>
        <v>US-17-TC-47</v>
      </c>
      <c r="B49" s="53" t="s">
        <v>559</v>
      </c>
      <c r="C49" s="54" t="s">
        <v>331</v>
      </c>
      <c r="D49" s="62" t="s">
        <v>781</v>
      </c>
      <c r="E49" s="55" t="s">
        <v>509</v>
      </c>
      <c r="F49" s="55" t="s">
        <v>50</v>
      </c>
      <c r="G49" s="56"/>
    </row>
    <row r="50">
      <c r="A50" s="53" t="str">
        <f t="shared" si="1"/>
        <v>US-17-TC-48</v>
      </c>
      <c r="B50" s="53" t="s">
        <v>560</v>
      </c>
      <c r="C50" s="54" t="s">
        <v>331</v>
      </c>
      <c r="D50" s="62" t="s">
        <v>782</v>
      </c>
      <c r="E50" s="55" t="s">
        <v>561</v>
      </c>
      <c r="F50" s="55" t="s">
        <v>50</v>
      </c>
      <c r="G50" s="56"/>
    </row>
    <row r="51">
      <c r="A51" s="53" t="str">
        <f t="shared" si="1"/>
        <v>US-17-TC-49</v>
      </c>
      <c r="B51" s="53" t="s">
        <v>562</v>
      </c>
      <c r="C51" s="54" t="s">
        <v>331</v>
      </c>
      <c r="D51" s="62" t="s">
        <v>783</v>
      </c>
      <c r="E51" s="55" t="s">
        <v>563</v>
      </c>
      <c r="F51" s="55" t="s">
        <v>50</v>
      </c>
      <c r="G51" s="56"/>
    </row>
    <row r="52">
      <c r="A52" s="53" t="str">
        <f t="shared" si="1"/>
        <v>US-17-TC-50</v>
      </c>
      <c r="B52" s="53" t="s">
        <v>564</v>
      </c>
      <c r="C52" s="54" t="s">
        <v>331</v>
      </c>
      <c r="D52" s="62" t="s">
        <v>784</v>
      </c>
      <c r="E52" s="55" t="s">
        <v>509</v>
      </c>
      <c r="F52" s="55" t="s">
        <v>50</v>
      </c>
      <c r="G52" s="56"/>
    </row>
    <row r="53">
      <c r="A53" s="53" t="str">
        <f t="shared" si="1"/>
        <v>US-17-TC-51</v>
      </c>
      <c r="B53" s="53" t="s">
        <v>565</v>
      </c>
      <c r="C53" s="54" t="s">
        <v>331</v>
      </c>
      <c r="D53" s="62" t="s">
        <v>785</v>
      </c>
      <c r="E53" s="55" t="s">
        <v>566</v>
      </c>
      <c r="F53" s="55" t="s">
        <v>50</v>
      </c>
      <c r="G53" s="56"/>
    </row>
    <row r="54">
      <c r="A54" s="53" t="str">
        <f t="shared" si="1"/>
        <v>US-17-TC-52</v>
      </c>
      <c r="B54" s="53" t="s">
        <v>567</v>
      </c>
      <c r="C54" s="54" t="s">
        <v>331</v>
      </c>
      <c r="D54" s="62" t="s">
        <v>786</v>
      </c>
      <c r="E54" s="55" t="s">
        <v>568</v>
      </c>
      <c r="F54" s="55" t="s">
        <v>50</v>
      </c>
      <c r="G54" s="56"/>
    </row>
    <row r="55">
      <c r="A55" s="53" t="str">
        <f t="shared" si="1"/>
        <v>US-17-TC-53</v>
      </c>
      <c r="B55" s="53" t="s">
        <v>528</v>
      </c>
      <c r="C55" s="54" t="s">
        <v>331</v>
      </c>
      <c r="D55" s="62" t="s">
        <v>787</v>
      </c>
      <c r="E55" s="55" t="s">
        <v>509</v>
      </c>
      <c r="F55" s="55" t="s">
        <v>50</v>
      </c>
      <c r="G55" s="56"/>
    </row>
    <row r="56">
      <c r="A56" s="53" t="str">
        <f t="shared" si="1"/>
        <v>US-17-TC-54</v>
      </c>
      <c r="B56" s="53" t="s">
        <v>529</v>
      </c>
      <c r="C56" s="54" t="s">
        <v>331</v>
      </c>
      <c r="D56" s="62" t="s">
        <v>788</v>
      </c>
      <c r="E56" s="55" t="s">
        <v>530</v>
      </c>
      <c r="F56" s="55" t="s">
        <v>50</v>
      </c>
      <c r="G56" s="56"/>
    </row>
    <row r="57">
      <c r="A57" s="53" t="str">
        <f t="shared" si="1"/>
        <v>US-17-TC-55</v>
      </c>
      <c r="B57" s="53" t="s">
        <v>531</v>
      </c>
      <c r="C57" s="54" t="s">
        <v>331</v>
      </c>
      <c r="D57" s="62" t="s">
        <v>789</v>
      </c>
      <c r="E57" s="55" t="s">
        <v>532</v>
      </c>
      <c r="F57" s="55" t="s">
        <v>50</v>
      </c>
      <c r="G57" s="56"/>
    </row>
    <row r="58">
      <c r="A58" s="53" t="str">
        <f t="shared" si="1"/>
        <v>US-17-TC-56</v>
      </c>
      <c r="B58" s="53" t="s">
        <v>536</v>
      </c>
      <c r="C58" s="54" t="s">
        <v>331</v>
      </c>
      <c r="D58" s="62" t="s">
        <v>790</v>
      </c>
      <c r="E58" s="55" t="s">
        <v>509</v>
      </c>
      <c r="F58" s="55" t="s">
        <v>50</v>
      </c>
      <c r="G58" s="56"/>
    </row>
    <row r="59">
      <c r="A59" s="53" t="str">
        <f t="shared" si="1"/>
        <v>US-17-TC-57</v>
      </c>
      <c r="B59" s="64" t="s">
        <v>537</v>
      </c>
      <c r="C59" s="54" t="s">
        <v>331</v>
      </c>
      <c r="D59" s="62" t="s">
        <v>791</v>
      </c>
      <c r="E59" s="55" t="s">
        <v>538</v>
      </c>
      <c r="F59" s="55" t="s">
        <v>50</v>
      </c>
      <c r="G59" s="56"/>
    </row>
    <row r="60">
      <c r="A60" s="53" t="str">
        <f t="shared" si="1"/>
        <v>US-17-TC-58</v>
      </c>
      <c r="B60" s="53" t="s">
        <v>539</v>
      </c>
      <c r="C60" s="54" t="s">
        <v>331</v>
      </c>
      <c r="D60" s="62" t="s">
        <v>792</v>
      </c>
      <c r="E60" s="55" t="s">
        <v>540</v>
      </c>
      <c r="F60" s="55" t="s">
        <v>50</v>
      </c>
      <c r="G60" s="56"/>
    </row>
    <row r="61">
      <c r="A61" s="53" t="str">
        <f t="shared" si="1"/>
        <v>US-17-TC-59</v>
      </c>
      <c r="B61" s="53" t="s">
        <v>544</v>
      </c>
      <c r="C61" s="54" t="s">
        <v>331</v>
      </c>
      <c r="D61" s="62" t="s">
        <v>793</v>
      </c>
      <c r="E61" s="55" t="s">
        <v>509</v>
      </c>
      <c r="F61" s="55" t="s">
        <v>50</v>
      </c>
      <c r="G61" s="56"/>
    </row>
    <row r="62">
      <c r="A62" s="53" t="str">
        <f t="shared" si="1"/>
        <v>US-17-TC-60</v>
      </c>
      <c r="B62" s="53" t="s">
        <v>545</v>
      </c>
      <c r="C62" s="54" t="s">
        <v>331</v>
      </c>
      <c r="D62" s="62" t="s">
        <v>794</v>
      </c>
      <c r="E62" s="55" t="s">
        <v>546</v>
      </c>
      <c r="F62" s="55" t="s">
        <v>50</v>
      </c>
      <c r="G62" s="56"/>
    </row>
    <row r="63">
      <c r="A63" s="53" t="str">
        <f t="shared" si="1"/>
        <v>US-17-TC-61</v>
      </c>
      <c r="B63" s="53" t="s">
        <v>547</v>
      </c>
      <c r="C63" s="54" t="s">
        <v>331</v>
      </c>
      <c r="D63" s="62" t="s">
        <v>795</v>
      </c>
      <c r="E63" s="55" t="s">
        <v>548</v>
      </c>
      <c r="F63" s="55" t="s">
        <v>50</v>
      </c>
      <c r="G63" s="56"/>
    </row>
    <row r="64">
      <c r="A64" s="53" t="str">
        <f t="shared" si="1"/>
        <v>US-17-TC-62</v>
      </c>
      <c r="B64" s="53" t="s">
        <v>549</v>
      </c>
      <c r="C64" s="54" t="s">
        <v>331</v>
      </c>
      <c r="D64" s="62" t="s">
        <v>796</v>
      </c>
      <c r="E64" s="55" t="s">
        <v>509</v>
      </c>
      <c r="F64" s="55" t="s">
        <v>50</v>
      </c>
      <c r="G64" s="56"/>
    </row>
    <row r="65">
      <c r="A65" s="53" t="str">
        <f t="shared" si="1"/>
        <v>US-17-TC-63</v>
      </c>
      <c r="B65" s="53" t="s">
        <v>550</v>
      </c>
      <c r="C65" s="54" t="s">
        <v>331</v>
      </c>
      <c r="D65" s="62" t="s">
        <v>797</v>
      </c>
      <c r="E65" s="55" t="s">
        <v>551</v>
      </c>
      <c r="F65" s="55" t="s">
        <v>50</v>
      </c>
      <c r="G65" s="56"/>
    </row>
    <row r="66">
      <c r="A66" s="53" t="str">
        <f t="shared" si="1"/>
        <v>US-17-TC-64</v>
      </c>
      <c r="B66" s="53" t="s">
        <v>552</v>
      </c>
      <c r="C66" s="54" t="s">
        <v>331</v>
      </c>
      <c r="D66" s="62" t="s">
        <v>798</v>
      </c>
      <c r="E66" s="55" t="s">
        <v>553</v>
      </c>
      <c r="F66" s="55" t="s">
        <v>50</v>
      </c>
      <c r="G66" s="56"/>
    </row>
    <row r="67">
      <c r="A67" s="53" t="str">
        <f t="shared" si="1"/>
        <v>US-17-TC-65</v>
      </c>
      <c r="B67" s="53" t="s">
        <v>413</v>
      </c>
      <c r="C67" s="54" t="s">
        <v>331</v>
      </c>
      <c r="D67" s="62" t="s">
        <v>414</v>
      </c>
      <c r="E67" s="55" t="s">
        <v>415</v>
      </c>
      <c r="F67" s="55" t="s">
        <v>50</v>
      </c>
      <c r="G67" s="56"/>
    </row>
    <row r="68">
      <c r="A68" s="53" t="str">
        <f t="shared" si="1"/>
        <v>US-17-TC-66</v>
      </c>
      <c r="B68" s="53" t="s">
        <v>416</v>
      </c>
      <c r="C68" s="54" t="s">
        <v>331</v>
      </c>
      <c r="D68" s="62" t="s">
        <v>417</v>
      </c>
      <c r="E68" s="55" t="s">
        <v>501</v>
      </c>
      <c r="F68" s="55" t="s">
        <v>50</v>
      </c>
      <c r="G68" s="56"/>
    </row>
    <row r="69">
      <c r="A69" s="53" t="str">
        <f t="shared" si="1"/>
        <v>US-17-TC-67</v>
      </c>
      <c r="B69" s="53" t="s">
        <v>419</v>
      </c>
      <c r="C69" s="54" t="s">
        <v>331</v>
      </c>
      <c r="D69" s="62" t="s">
        <v>420</v>
      </c>
      <c r="E69" s="55" t="s">
        <v>502</v>
      </c>
      <c r="F69" s="55" t="s">
        <v>50</v>
      </c>
      <c r="G69" s="56"/>
    </row>
    <row r="70">
      <c r="A70" s="53" t="str">
        <f t="shared" si="1"/>
        <v>US-17-TC-68</v>
      </c>
      <c r="B70" s="53" t="s">
        <v>422</v>
      </c>
      <c r="C70" s="54" t="s">
        <v>331</v>
      </c>
      <c r="D70" s="62" t="s">
        <v>420</v>
      </c>
      <c r="E70" s="55" t="s">
        <v>423</v>
      </c>
      <c r="F70" s="55" t="s">
        <v>50</v>
      </c>
      <c r="G70" s="56"/>
    </row>
  </sheetData>
  <dataValidations>
    <dataValidation type="list" allowBlank="1" sqref="F3:F70">
      <formula1>"OPEN,BLOCKED,PASSED,FAILED"</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4.75"/>
    <col customWidth="1" min="2" max="2" width="61.13"/>
    <col customWidth="1" min="3" max="3" width="50.13"/>
    <col customWidth="1" min="4" max="4" width="48.38"/>
    <col customWidth="1" min="5" max="5" width="56.63"/>
    <col customWidth="1" min="6" max="6" width="21.63"/>
    <col customWidth="1" min="7" max="7" width="22.75"/>
  </cols>
  <sheetData>
    <row r="1">
      <c r="A1" s="47" t="s">
        <v>47</v>
      </c>
      <c r="B1" s="97" t="s">
        <v>799</v>
      </c>
      <c r="C1" s="49"/>
      <c r="D1" s="49"/>
      <c r="E1" s="49"/>
      <c r="F1" s="49"/>
      <c r="G1" s="49"/>
      <c r="H1" s="50"/>
      <c r="I1" s="50"/>
      <c r="J1" s="50"/>
      <c r="K1" s="50"/>
      <c r="L1" s="50"/>
      <c r="M1" s="50"/>
      <c r="N1" s="50"/>
      <c r="O1" s="50"/>
      <c r="P1" s="50"/>
      <c r="Q1" s="50"/>
      <c r="R1" s="50"/>
      <c r="S1" s="50"/>
      <c r="T1" s="50"/>
      <c r="U1" s="50"/>
      <c r="V1" s="50"/>
      <c r="W1" s="50"/>
      <c r="X1" s="50"/>
      <c r="Y1" s="50"/>
      <c r="Z1" s="50"/>
    </row>
    <row r="2">
      <c r="A2" s="51" t="s">
        <v>14</v>
      </c>
      <c r="B2" s="51" t="s">
        <v>16</v>
      </c>
      <c r="C2" s="52" t="s">
        <v>18</v>
      </c>
      <c r="D2" s="52" t="s">
        <v>20</v>
      </c>
      <c r="E2" s="52" t="s">
        <v>219</v>
      </c>
      <c r="F2" s="52" t="s">
        <v>24</v>
      </c>
      <c r="G2" s="52" t="s">
        <v>26</v>
      </c>
      <c r="H2" s="50"/>
      <c r="I2" s="50"/>
      <c r="J2" s="50"/>
      <c r="K2" s="50"/>
      <c r="L2" s="50"/>
      <c r="M2" s="50"/>
      <c r="N2" s="50"/>
      <c r="O2" s="50"/>
      <c r="P2" s="50"/>
      <c r="Q2" s="50"/>
      <c r="R2" s="50"/>
      <c r="S2" s="50"/>
      <c r="T2" s="50"/>
      <c r="U2" s="50"/>
      <c r="V2" s="50"/>
      <c r="W2" s="50"/>
      <c r="X2" s="50"/>
      <c r="Y2" s="50"/>
      <c r="Z2" s="50"/>
    </row>
    <row r="3">
      <c r="A3" s="53" t="str">
        <f t="shared" ref="A3:A21" si="1">IF(B1&lt;&gt;"", "AO-01-TC-" &amp; TEXT(COUNTA($B$3:B3), "00"), "")
</f>
        <v>AO-01-TC-01</v>
      </c>
      <c r="B3" s="53" t="s">
        <v>800</v>
      </c>
      <c r="C3" s="54" t="s">
        <v>801</v>
      </c>
      <c r="D3" s="54" t="s">
        <v>802</v>
      </c>
      <c r="E3" s="55" t="s">
        <v>803</v>
      </c>
      <c r="F3" s="55" t="s">
        <v>53</v>
      </c>
      <c r="G3" s="55"/>
      <c r="H3" s="50"/>
      <c r="I3" s="50"/>
      <c r="J3" s="50"/>
      <c r="K3" s="50"/>
      <c r="L3" s="50"/>
      <c r="M3" s="50"/>
      <c r="N3" s="50"/>
      <c r="O3" s="50"/>
      <c r="P3" s="50"/>
      <c r="Q3" s="50"/>
      <c r="R3" s="50"/>
      <c r="S3" s="50"/>
      <c r="T3" s="50"/>
      <c r="U3" s="50"/>
      <c r="V3" s="50"/>
      <c r="W3" s="50"/>
      <c r="X3" s="50"/>
      <c r="Y3" s="50"/>
      <c r="Z3" s="50"/>
    </row>
    <row r="4">
      <c r="A4" s="53" t="str">
        <f t="shared" si="1"/>
        <v>AO-01-TC-02</v>
      </c>
      <c r="B4" s="53" t="s">
        <v>804</v>
      </c>
      <c r="C4" s="54" t="s">
        <v>801</v>
      </c>
      <c r="D4" s="54" t="s">
        <v>805</v>
      </c>
      <c r="E4" s="55" t="s">
        <v>803</v>
      </c>
      <c r="F4" s="55" t="s">
        <v>53</v>
      </c>
      <c r="G4" s="55"/>
      <c r="H4" s="50"/>
      <c r="I4" s="50"/>
      <c r="J4" s="50"/>
      <c r="K4" s="50"/>
      <c r="L4" s="50"/>
      <c r="M4" s="50"/>
      <c r="N4" s="50"/>
      <c r="O4" s="50"/>
      <c r="P4" s="50"/>
      <c r="Q4" s="50"/>
      <c r="R4" s="50"/>
      <c r="S4" s="50"/>
      <c r="T4" s="50"/>
      <c r="U4" s="50"/>
      <c r="V4" s="50"/>
      <c r="W4" s="50"/>
      <c r="X4" s="50"/>
      <c r="Y4" s="50"/>
      <c r="Z4" s="50"/>
    </row>
    <row r="5">
      <c r="A5" s="53" t="str">
        <f t="shared" si="1"/>
        <v>AO-01-TC-03</v>
      </c>
      <c r="B5" s="139" t="s">
        <v>806</v>
      </c>
      <c r="C5" s="54" t="s">
        <v>801</v>
      </c>
      <c r="D5" s="140" t="s">
        <v>807</v>
      </c>
      <c r="E5" s="55" t="s">
        <v>803</v>
      </c>
      <c r="F5" s="55" t="s">
        <v>53</v>
      </c>
      <c r="G5" s="141"/>
      <c r="H5" s="50"/>
      <c r="I5" s="50"/>
      <c r="J5" s="50"/>
      <c r="K5" s="50"/>
      <c r="L5" s="50"/>
      <c r="M5" s="50"/>
      <c r="N5" s="50"/>
      <c r="O5" s="50"/>
      <c r="P5" s="50"/>
      <c r="Q5" s="50"/>
      <c r="R5" s="50"/>
      <c r="S5" s="50"/>
      <c r="T5" s="50"/>
      <c r="U5" s="50"/>
      <c r="V5" s="50"/>
      <c r="W5" s="50"/>
      <c r="X5" s="50"/>
      <c r="Y5" s="50"/>
      <c r="Z5" s="50"/>
    </row>
    <row r="6">
      <c r="A6" s="53" t="str">
        <f t="shared" si="1"/>
        <v>AO-01-TC-04</v>
      </c>
      <c r="B6" s="53" t="s">
        <v>808</v>
      </c>
      <c r="C6" s="54" t="s">
        <v>801</v>
      </c>
      <c r="D6" s="54" t="s">
        <v>809</v>
      </c>
      <c r="E6" s="55" t="s">
        <v>810</v>
      </c>
      <c r="F6" s="55" t="s">
        <v>53</v>
      </c>
      <c r="G6" s="56"/>
      <c r="H6" s="50"/>
      <c r="I6" s="50"/>
      <c r="J6" s="50"/>
      <c r="K6" s="50"/>
      <c r="L6" s="50"/>
      <c r="M6" s="50"/>
      <c r="N6" s="50"/>
      <c r="O6" s="50"/>
      <c r="P6" s="50"/>
      <c r="Q6" s="50"/>
      <c r="R6" s="50"/>
      <c r="S6" s="50"/>
      <c r="T6" s="50"/>
      <c r="U6" s="50"/>
      <c r="V6" s="50"/>
      <c r="W6" s="50"/>
      <c r="X6" s="50"/>
      <c r="Y6" s="50"/>
      <c r="Z6" s="50"/>
    </row>
    <row r="7">
      <c r="A7" s="53" t="str">
        <f t="shared" si="1"/>
        <v>AO-01-TC-05</v>
      </c>
      <c r="B7" s="53" t="s">
        <v>811</v>
      </c>
      <c r="C7" s="54" t="s">
        <v>801</v>
      </c>
      <c r="D7" s="54" t="s">
        <v>812</v>
      </c>
      <c r="E7" s="55" t="s">
        <v>813</v>
      </c>
      <c r="F7" s="55" t="s">
        <v>53</v>
      </c>
      <c r="G7" s="56"/>
      <c r="H7" s="50"/>
      <c r="I7" s="50"/>
      <c r="J7" s="50"/>
      <c r="K7" s="50"/>
      <c r="L7" s="50"/>
      <c r="M7" s="50"/>
      <c r="N7" s="50"/>
      <c r="O7" s="50"/>
      <c r="P7" s="50"/>
      <c r="Q7" s="50"/>
      <c r="R7" s="50"/>
      <c r="S7" s="50"/>
      <c r="T7" s="50"/>
      <c r="U7" s="50"/>
      <c r="V7" s="50"/>
      <c r="W7" s="50"/>
      <c r="X7" s="50"/>
      <c r="Y7" s="50"/>
      <c r="Z7" s="50"/>
    </row>
    <row r="8">
      <c r="A8" s="53" t="str">
        <f t="shared" si="1"/>
        <v>AO-01-TC-06</v>
      </c>
      <c r="B8" s="64" t="s">
        <v>814</v>
      </c>
      <c r="C8" s="54" t="s">
        <v>801</v>
      </c>
      <c r="D8" s="54" t="s">
        <v>815</v>
      </c>
      <c r="E8" s="55" t="s">
        <v>816</v>
      </c>
      <c r="F8" s="55" t="s">
        <v>53</v>
      </c>
      <c r="G8" s="56"/>
      <c r="H8" s="50"/>
      <c r="I8" s="50"/>
      <c r="J8" s="50"/>
      <c r="K8" s="50"/>
      <c r="L8" s="50"/>
      <c r="M8" s="50"/>
      <c r="N8" s="50"/>
      <c r="O8" s="50"/>
      <c r="P8" s="50"/>
      <c r="Q8" s="50"/>
      <c r="R8" s="50"/>
      <c r="S8" s="50"/>
      <c r="T8" s="50"/>
      <c r="U8" s="50"/>
      <c r="V8" s="50"/>
      <c r="W8" s="50"/>
      <c r="X8" s="50"/>
      <c r="Y8" s="50"/>
      <c r="Z8" s="50"/>
    </row>
    <row r="9">
      <c r="A9" s="53" t="str">
        <f t="shared" si="1"/>
        <v>AO-01-TC-07</v>
      </c>
      <c r="B9" s="53" t="s">
        <v>817</v>
      </c>
      <c r="C9" s="54" t="s">
        <v>801</v>
      </c>
      <c r="D9" s="54" t="s">
        <v>818</v>
      </c>
      <c r="E9" s="55" t="s">
        <v>819</v>
      </c>
      <c r="F9" s="55" t="s">
        <v>53</v>
      </c>
      <c r="G9" s="56"/>
      <c r="H9" s="50"/>
      <c r="I9" s="50"/>
      <c r="J9" s="50"/>
      <c r="K9" s="50"/>
      <c r="L9" s="50"/>
      <c r="M9" s="50"/>
      <c r="N9" s="50"/>
      <c r="O9" s="50"/>
      <c r="P9" s="50"/>
      <c r="Q9" s="50"/>
      <c r="R9" s="50"/>
      <c r="S9" s="50"/>
      <c r="T9" s="50"/>
      <c r="U9" s="50"/>
      <c r="V9" s="50"/>
      <c r="W9" s="50"/>
      <c r="X9" s="50"/>
      <c r="Y9" s="50"/>
      <c r="Z9" s="50"/>
    </row>
    <row r="10">
      <c r="A10" s="53" t="str">
        <f t="shared" si="1"/>
        <v>AO-01-TC-08</v>
      </c>
      <c r="B10" s="53" t="s">
        <v>820</v>
      </c>
      <c r="C10" s="54" t="s">
        <v>801</v>
      </c>
      <c r="D10" s="54" t="s">
        <v>821</v>
      </c>
      <c r="E10" s="55" t="s">
        <v>822</v>
      </c>
      <c r="F10" s="55" t="s">
        <v>53</v>
      </c>
      <c r="G10" s="55"/>
      <c r="H10" s="50"/>
      <c r="I10" s="50"/>
      <c r="J10" s="50"/>
      <c r="K10" s="50"/>
      <c r="L10" s="50"/>
      <c r="M10" s="50"/>
      <c r="N10" s="50"/>
      <c r="O10" s="50"/>
      <c r="P10" s="50"/>
      <c r="Q10" s="50"/>
      <c r="R10" s="50"/>
      <c r="S10" s="50"/>
      <c r="T10" s="50"/>
      <c r="U10" s="50"/>
      <c r="V10" s="50"/>
      <c r="W10" s="50"/>
      <c r="X10" s="50"/>
      <c r="Y10" s="50"/>
      <c r="Z10" s="50"/>
    </row>
    <row r="11">
      <c r="A11" s="53" t="str">
        <f t="shared" si="1"/>
        <v>AO-01-TC-09</v>
      </c>
      <c r="B11" s="53" t="s">
        <v>823</v>
      </c>
      <c r="C11" s="54" t="s">
        <v>801</v>
      </c>
      <c r="D11" s="145" t="s">
        <v>824</v>
      </c>
      <c r="E11" s="55"/>
      <c r="F11" s="55" t="s">
        <v>53</v>
      </c>
      <c r="G11" s="55"/>
      <c r="H11" s="50"/>
      <c r="I11" s="50"/>
      <c r="J11" s="50"/>
      <c r="K11" s="50"/>
      <c r="L11" s="50"/>
      <c r="M11" s="50"/>
      <c r="N11" s="50"/>
      <c r="O11" s="50"/>
      <c r="P11" s="50"/>
      <c r="Q11" s="50"/>
      <c r="R11" s="50"/>
      <c r="S11" s="50"/>
      <c r="T11" s="50"/>
      <c r="U11" s="50"/>
      <c r="V11" s="50"/>
      <c r="W11" s="50"/>
      <c r="X11" s="50"/>
      <c r="Y11" s="50"/>
      <c r="Z11" s="50"/>
    </row>
    <row r="12">
      <c r="A12" s="53" t="str">
        <f t="shared" si="1"/>
        <v>AO-01-TC-10</v>
      </c>
      <c r="B12" s="53" t="s">
        <v>825</v>
      </c>
      <c r="C12" s="54" t="s">
        <v>801</v>
      </c>
      <c r="D12" s="80" t="s">
        <v>826</v>
      </c>
      <c r="E12" s="55" t="s">
        <v>827</v>
      </c>
      <c r="F12" s="55" t="s">
        <v>53</v>
      </c>
      <c r="G12" s="55"/>
      <c r="H12" s="50"/>
      <c r="I12" s="50"/>
      <c r="J12" s="50"/>
      <c r="K12" s="50"/>
      <c r="L12" s="50"/>
      <c r="M12" s="50"/>
      <c r="N12" s="50"/>
      <c r="O12" s="50"/>
      <c r="P12" s="50"/>
      <c r="Q12" s="50"/>
      <c r="R12" s="50"/>
      <c r="S12" s="50"/>
      <c r="T12" s="50"/>
      <c r="U12" s="50"/>
      <c r="V12" s="50"/>
      <c r="W12" s="50"/>
      <c r="X12" s="50"/>
      <c r="Y12" s="50"/>
      <c r="Z12" s="50"/>
    </row>
    <row r="13">
      <c r="A13" s="53" t="str">
        <f t="shared" si="1"/>
        <v>AO-01-TC-11</v>
      </c>
      <c r="B13" s="53" t="s">
        <v>828</v>
      </c>
      <c r="C13" s="54" t="s">
        <v>801</v>
      </c>
      <c r="D13" s="80" t="s">
        <v>829</v>
      </c>
      <c r="E13" s="55" t="s">
        <v>830</v>
      </c>
      <c r="F13" s="55" t="s">
        <v>53</v>
      </c>
      <c r="G13" s="56"/>
      <c r="H13" s="50"/>
      <c r="I13" s="50"/>
      <c r="J13" s="50"/>
      <c r="K13" s="50"/>
      <c r="L13" s="50"/>
      <c r="M13" s="50"/>
      <c r="N13" s="50"/>
      <c r="O13" s="50"/>
      <c r="P13" s="50"/>
      <c r="Q13" s="50"/>
      <c r="R13" s="50"/>
      <c r="S13" s="50"/>
      <c r="T13" s="50"/>
      <c r="U13" s="50"/>
      <c r="V13" s="50"/>
      <c r="W13" s="50"/>
      <c r="X13" s="50"/>
      <c r="Y13" s="50"/>
      <c r="Z13" s="50"/>
    </row>
    <row r="14">
      <c r="A14" s="53" t="str">
        <f t="shared" si="1"/>
        <v>AO-01-TC-12</v>
      </c>
      <c r="B14" s="53" t="s">
        <v>831</v>
      </c>
      <c r="C14" s="54" t="s">
        <v>801</v>
      </c>
      <c r="D14" s="54" t="s">
        <v>832</v>
      </c>
      <c r="E14" s="55" t="s">
        <v>830</v>
      </c>
      <c r="F14" s="55" t="s">
        <v>53</v>
      </c>
      <c r="G14" s="56"/>
      <c r="H14" s="50"/>
      <c r="I14" s="50"/>
      <c r="J14" s="50"/>
      <c r="K14" s="50"/>
      <c r="L14" s="50"/>
      <c r="M14" s="50"/>
      <c r="N14" s="50"/>
      <c r="O14" s="50"/>
      <c r="P14" s="50"/>
      <c r="Q14" s="50"/>
      <c r="R14" s="50"/>
      <c r="S14" s="50"/>
      <c r="T14" s="50"/>
      <c r="U14" s="50"/>
      <c r="V14" s="50"/>
      <c r="W14" s="50"/>
      <c r="X14" s="50"/>
      <c r="Y14" s="50"/>
      <c r="Z14" s="50"/>
    </row>
    <row r="15">
      <c r="A15" s="53" t="str">
        <f t="shared" si="1"/>
        <v>AO-01-TC-13</v>
      </c>
      <c r="B15" s="53" t="s">
        <v>833</v>
      </c>
      <c r="C15" s="54" t="s">
        <v>801</v>
      </c>
      <c r="D15" s="54" t="s">
        <v>834</v>
      </c>
      <c r="E15" s="55" t="s">
        <v>835</v>
      </c>
      <c r="F15" s="55" t="s">
        <v>53</v>
      </c>
      <c r="G15" s="56"/>
      <c r="H15" s="50"/>
      <c r="I15" s="50"/>
      <c r="J15" s="50"/>
      <c r="K15" s="50"/>
      <c r="L15" s="50"/>
      <c r="M15" s="50"/>
      <c r="N15" s="50"/>
      <c r="O15" s="50"/>
      <c r="P15" s="50"/>
      <c r="Q15" s="50"/>
      <c r="R15" s="50"/>
      <c r="S15" s="50"/>
      <c r="T15" s="50"/>
      <c r="U15" s="50"/>
      <c r="V15" s="50"/>
      <c r="W15" s="50"/>
      <c r="X15" s="50"/>
      <c r="Y15" s="50"/>
      <c r="Z15" s="50"/>
    </row>
    <row r="16">
      <c r="A16" s="53" t="str">
        <f t="shared" si="1"/>
        <v>AO-01-TC-14</v>
      </c>
      <c r="B16" s="53" t="s">
        <v>836</v>
      </c>
      <c r="C16" s="54" t="s">
        <v>801</v>
      </c>
      <c r="D16" s="54" t="s">
        <v>837</v>
      </c>
      <c r="E16" s="55" t="s">
        <v>838</v>
      </c>
      <c r="F16" s="55" t="s">
        <v>53</v>
      </c>
      <c r="G16" s="56"/>
      <c r="H16" s="50"/>
      <c r="I16" s="50"/>
      <c r="J16" s="50"/>
      <c r="K16" s="50"/>
      <c r="L16" s="50"/>
      <c r="M16" s="50"/>
      <c r="N16" s="50"/>
      <c r="O16" s="50"/>
      <c r="P16" s="50"/>
      <c r="Q16" s="50"/>
      <c r="R16" s="50"/>
      <c r="S16" s="50"/>
      <c r="T16" s="50"/>
      <c r="U16" s="50"/>
      <c r="V16" s="50"/>
      <c r="W16" s="50"/>
      <c r="X16" s="50"/>
      <c r="Y16" s="50"/>
      <c r="Z16" s="50"/>
    </row>
    <row r="17">
      <c r="A17" s="53" t="str">
        <f t="shared" si="1"/>
        <v>AO-01-TC-15</v>
      </c>
      <c r="B17" s="53" t="s">
        <v>839</v>
      </c>
      <c r="C17" s="54" t="s">
        <v>801</v>
      </c>
      <c r="D17" s="54" t="s">
        <v>840</v>
      </c>
      <c r="E17" s="55" t="s">
        <v>813</v>
      </c>
      <c r="F17" s="55" t="s">
        <v>53</v>
      </c>
      <c r="G17" s="56"/>
      <c r="H17" s="50"/>
      <c r="I17" s="50"/>
      <c r="J17" s="50"/>
      <c r="K17" s="50"/>
      <c r="L17" s="50"/>
      <c r="M17" s="50"/>
      <c r="N17" s="50"/>
      <c r="O17" s="50"/>
      <c r="P17" s="50"/>
      <c r="Q17" s="50"/>
      <c r="R17" s="50"/>
      <c r="S17" s="50"/>
      <c r="T17" s="50"/>
      <c r="U17" s="50"/>
      <c r="V17" s="50"/>
      <c r="W17" s="50"/>
      <c r="X17" s="50"/>
      <c r="Y17" s="50"/>
      <c r="Z17" s="50"/>
    </row>
    <row r="18">
      <c r="A18" s="53" t="str">
        <f t="shared" si="1"/>
        <v>AO-01-TC-16</v>
      </c>
      <c r="B18" s="53" t="s">
        <v>841</v>
      </c>
      <c r="C18" s="54" t="s">
        <v>801</v>
      </c>
      <c r="D18" s="54" t="s">
        <v>842</v>
      </c>
      <c r="E18" s="55" t="s">
        <v>816</v>
      </c>
      <c r="F18" s="55" t="s">
        <v>53</v>
      </c>
      <c r="G18" s="56"/>
      <c r="H18" s="50"/>
      <c r="I18" s="50"/>
      <c r="J18" s="50"/>
      <c r="K18" s="50"/>
      <c r="L18" s="50"/>
      <c r="M18" s="50"/>
      <c r="N18" s="50"/>
      <c r="O18" s="50"/>
      <c r="P18" s="50"/>
      <c r="Q18" s="50"/>
      <c r="R18" s="50"/>
      <c r="S18" s="50"/>
      <c r="T18" s="50"/>
      <c r="U18" s="50"/>
      <c r="V18" s="50"/>
      <c r="W18" s="50"/>
      <c r="X18" s="50"/>
      <c r="Y18" s="50"/>
      <c r="Z18" s="50"/>
    </row>
    <row r="19">
      <c r="A19" s="53" t="str">
        <f t="shared" si="1"/>
        <v>AO-01-TC-17</v>
      </c>
      <c r="B19" s="64" t="s">
        <v>843</v>
      </c>
      <c r="C19" s="54" t="s">
        <v>801</v>
      </c>
      <c r="D19" s="54" t="s">
        <v>844</v>
      </c>
      <c r="E19" s="55" t="s">
        <v>845</v>
      </c>
      <c r="F19" s="55" t="s">
        <v>53</v>
      </c>
      <c r="G19" s="56"/>
      <c r="H19" s="50"/>
      <c r="I19" s="50"/>
      <c r="J19" s="50"/>
      <c r="K19" s="50"/>
      <c r="L19" s="50"/>
      <c r="M19" s="50"/>
      <c r="N19" s="50"/>
      <c r="O19" s="50"/>
      <c r="P19" s="50"/>
      <c r="Q19" s="50"/>
      <c r="R19" s="50"/>
      <c r="S19" s="50"/>
      <c r="T19" s="50"/>
      <c r="U19" s="50"/>
      <c r="V19" s="50"/>
      <c r="W19" s="50"/>
      <c r="X19" s="50"/>
      <c r="Y19" s="50"/>
      <c r="Z19" s="50"/>
    </row>
    <row r="20">
      <c r="A20" s="53" t="str">
        <f t="shared" si="1"/>
        <v>AO-01-TC-18</v>
      </c>
      <c r="B20" s="53" t="s">
        <v>846</v>
      </c>
      <c r="C20" s="54" t="s">
        <v>801</v>
      </c>
      <c r="D20" s="54" t="s">
        <v>847</v>
      </c>
      <c r="E20" s="55" t="s">
        <v>848</v>
      </c>
      <c r="F20" s="55" t="s">
        <v>53</v>
      </c>
      <c r="G20" s="56"/>
      <c r="H20" s="50"/>
      <c r="I20" s="50"/>
      <c r="J20" s="50"/>
      <c r="K20" s="50"/>
      <c r="L20" s="50"/>
      <c r="M20" s="50"/>
      <c r="N20" s="50"/>
      <c r="O20" s="50"/>
      <c r="P20" s="50"/>
      <c r="Q20" s="50"/>
      <c r="R20" s="50"/>
      <c r="S20" s="50"/>
      <c r="T20" s="50"/>
      <c r="U20" s="50"/>
      <c r="V20" s="50"/>
      <c r="W20" s="50"/>
      <c r="X20" s="50"/>
      <c r="Y20" s="50"/>
      <c r="Z20" s="50"/>
    </row>
    <row r="21">
      <c r="A21" s="53" t="str">
        <f t="shared" si="1"/>
        <v>AO-01-TC-19</v>
      </c>
      <c r="B21" s="53" t="s">
        <v>849</v>
      </c>
      <c r="C21" s="54" t="s">
        <v>801</v>
      </c>
      <c r="D21" s="54" t="s">
        <v>850</v>
      </c>
      <c r="E21" s="55" t="s">
        <v>851</v>
      </c>
      <c r="F21" s="55" t="s">
        <v>53</v>
      </c>
      <c r="G21" s="56"/>
      <c r="H21" s="50"/>
      <c r="I21" s="50"/>
      <c r="J21" s="50"/>
      <c r="K21" s="50"/>
      <c r="L21" s="50"/>
      <c r="M21" s="50"/>
      <c r="N21" s="50"/>
      <c r="O21" s="50"/>
      <c r="P21" s="50"/>
      <c r="Q21" s="50"/>
      <c r="R21" s="50"/>
      <c r="S21" s="50"/>
      <c r="T21" s="50"/>
      <c r="U21" s="50"/>
      <c r="V21" s="50"/>
      <c r="W21" s="50"/>
      <c r="X21" s="50"/>
      <c r="Y21" s="50"/>
      <c r="Z21" s="50"/>
    </row>
    <row r="22">
      <c r="A22" s="53" t="str">
        <f t="shared" ref="A22:A23" si="2">IF(B21&lt;&gt;"", "AO-01-TC-" &amp; TEXT(COUNTA($B$3:B22), "00"), "")
</f>
        <v>AO-01-TC-20</v>
      </c>
      <c r="B22" s="53" t="s">
        <v>852</v>
      </c>
      <c r="C22" s="54" t="s">
        <v>801</v>
      </c>
      <c r="D22" s="54" t="s">
        <v>853</v>
      </c>
      <c r="E22" s="55" t="s">
        <v>854</v>
      </c>
      <c r="F22" s="55" t="s">
        <v>53</v>
      </c>
      <c r="G22" s="56"/>
      <c r="H22" s="50"/>
      <c r="I22" s="50"/>
      <c r="J22" s="50"/>
      <c r="K22" s="50"/>
      <c r="L22" s="50"/>
      <c r="M22" s="50"/>
      <c r="N22" s="50"/>
      <c r="O22" s="50"/>
      <c r="P22" s="50"/>
      <c r="Q22" s="50"/>
      <c r="R22" s="50"/>
      <c r="S22" s="50"/>
      <c r="T22" s="50"/>
      <c r="U22" s="50"/>
      <c r="V22" s="50"/>
      <c r="W22" s="50"/>
      <c r="X22" s="50"/>
      <c r="Y22" s="50"/>
      <c r="Z22" s="50"/>
    </row>
    <row r="23">
      <c r="A23" s="53" t="str">
        <f t="shared" si="2"/>
        <v>AO-01-TC-21</v>
      </c>
      <c r="B23" s="53" t="s">
        <v>855</v>
      </c>
      <c r="C23" s="54" t="s">
        <v>801</v>
      </c>
      <c r="D23" s="54" t="s">
        <v>856</v>
      </c>
      <c r="E23" s="55" t="s">
        <v>857</v>
      </c>
      <c r="F23" s="55" t="s">
        <v>53</v>
      </c>
      <c r="G23" s="56"/>
      <c r="H23" s="50"/>
      <c r="I23" s="50"/>
      <c r="J23" s="50"/>
      <c r="K23" s="50"/>
      <c r="L23" s="50"/>
      <c r="M23" s="50"/>
      <c r="N23" s="50"/>
      <c r="O23" s="50"/>
      <c r="P23" s="50"/>
      <c r="Q23" s="50"/>
      <c r="R23" s="50"/>
      <c r="S23" s="50"/>
      <c r="T23" s="50"/>
      <c r="U23" s="50"/>
      <c r="V23" s="50"/>
      <c r="W23" s="50"/>
      <c r="X23" s="50"/>
      <c r="Y23" s="50"/>
      <c r="Z23" s="50"/>
    </row>
    <row r="24">
      <c r="A24" s="53" t="str">
        <f t="shared" ref="A24:A29" si="3">IF(B22&lt;&gt;"", "AO-01-TC-" &amp; TEXT(COUNTA($B$3:B24), "00"), "")
</f>
        <v>AO-01-TC-22</v>
      </c>
      <c r="B24" s="53" t="s">
        <v>858</v>
      </c>
      <c r="C24" s="54" t="s">
        <v>801</v>
      </c>
      <c r="D24" s="54" t="s">
        <v>859</v>
      </c>
      <c r="E24" s="55" t="s">
        <v>860</v>
      </c>
      <c r="F24" s="55" t="s">
        <v>53</v>
      </c>
      <c r="G24" s="56"/>
      <c r="H24" s="50"/>
      <c r="I24" s="50"/>
      <c r="J24" s="50"/>
      <c r="K24" s="50"/>
      <c r="L24" s="50"/>
      <c r="M24" s="50"/>
      <c r="N24" s="50"/>
      <c r="O24" s="50"/>
      <c r="P24" s="50"/>
      <c r="Q24" s="50"/>
      <c r="R24" s="50"/>
      <c r="S24" s="50"/>
      <c r="T24" s="50"/>
      <c r="U24" s="50"/>
      <c r="V24" s="50"/>
      <c r="W24" s="50"/>
      <c r="X24" s="50"/>
      <c r="Y24" s="50"/>
      <c r="Z24" s="50"/>
    </row>
    <row r="25">
      <c r="A25" s="53" t="str">
        <f t="shared" si="3"/>
        <v>AO-01-TC-23</v>
      </c>
      <c r="B25" s="142" t="s">
        <v>861</v>
      </c>
      <c r="C25" s="54" t="s">
        <v>801</v>
      </c>
      <c r="D25" s="62" t="s">
        <v>862</v>
      </c>
      <c r="E25" s="55" t="s">
        <v>863</v>
      </c>
      <c r="F25" s="55" t="s">
        <v>53</v>
      </c>
      <c r="G25" s="144"/>
      <c r="H25" s="50"/>
      <c r="I25" s="50"/>
      <c r="J25" s="50"/>
      <c r="K25" s="50"/>
      <c r="L25" s="50"/>
      <c r="M25" s="50"/>
      <c r="N25" s="50"/>
      <c r="O25" s="50"/>
      <c r="P25" s="50"/>
      <c r="Q25" s="50"/>
      <c r="R25" s="50"/>
      <c r="S25" s="50"/>
      <c r="T25" s="50"/>
      <c r="U25" s="50"/>
      <c r="V25" s="50"/>
      <c r="W25" s="50"/>
      <c r="X25" s="50"/>
      <c r="Y25" s="50"/>
      <c r="Z25" s="50"/>
    </row>
    <row r="26">
      <c r="A26" s="53" t="str">
        <f t="shared" si="3"/>
        <v>AO-01-TC-24</v>
      </c>
      <c r="B26" s="53" t="s">
        <v>864</v>
      </c>
      <c r="C26" s="54" t="s">
        <v>801</v>
      </c>
      <c r="D26" s="62" t="s">
        <v>865</v>
      </c>
      <c r="E26" s="55" t="s">
        <v>866</v>
      </c>
      <c r="F26" s="55" t="s">
        <v>53</v>
      </c>
      <c r="G26" s="55"/>
      <c r="H26" s="50"/>
      <c r="I26" s="50"/>
      <c r="J26" s="50"/>
      <c r="K26" s="50"/>
      <c r="L26" s="50"/>
      <c r="M26" s="50"/>
      <c r="N26" s="50"/>
      <c r="O26" s="50"/>
      <c r="P26" s="50"/>
      <c r="Q26" s="50"/>
      <c r="R26" s="50"/>
      <c r="S26" s="50"/>
      <c r="T26" s="50"/>
      <c r="U26" s="50"/>
      <c r="V26" s="50"/>
      <c r="W26" s="50"/>
      <c r="X26" s="50"/>
      <c r="Y26" s="50"/>
      <c r="Z26" s="50"/>
    </row>
    <row r="27">
      <c r="A27" s="53" t="str">
        <f t="shared" si="3"/>
        <v>AO-01-TC-25</v>
      </c>
      <c r="B27" s="53" t="s">
        <v>867</v>
      </c>
      <c r="C27" s="54" t="s">
        <v>801</v>
      </c>
      <c r="D27" s="62" t="s">
        <v>868</v>
      </c>
      <c r="E27" s="55" t="s">
        <v>869</v>
      </c>
      <c r="F27" s="55" t="s">
        <v>53</v>
      </c>
      <c r="G27" s="56"/>
      <c r="H27" s="50"/>
      <c r="I27" s="50"/>
      <c r="J27" s="50"/>
      <c r="K27" s="50"/>
      <c r="L27" s="50"/>
      <c r="M27" s="50"/>
      <c r="N27" s="50"/>
      <c r="O27" s="50"/>
      <c r="P27" s="50"/>
      <c r="Q27" s="50"/>
      <c r="R27" s="50"/>
      <c r="S27" s="50"/>
      <c r="T27" s="50"/>
      <c r="U27" s="50"/>
      <c r="V27" s="50"/>
      <c r="W27" s="50"/>
      <c r="X27" s="50"/>
      <c r="Y27" s="50"/>
      <c r="Z27" s="50"/>
    </row>
    <row r="28">
      <c r="A28" s="53" t="str">
        <f t="shared" si="3"/>
        <v>AO-01-TC-26</v>
      </c>
      <c r="B28" s="53" t="s">
        <v>870</v>
      </c>
      <c r="C28" s="54" t="s">
        <v>801</v>
      </c>
      <c r="D28" s="62" t="s">
        <v>871</v>
      </c>
      <c r="E28" s="55" t="s">
        <v>813</v>
      </c>
      <c r="F28" s="55" t="s">
        <v>53</v>
      </c>
      <c r="G28" s="56"/>
      <c r="H28" s="50"/>
      <c r="I28" s="50"/>
      <c r="J28" s="50"/>
      <c r="K28" s="50"/>
      <c r="L28" s="50"/>
      <c r="M28" s="50"/>
      <c r="N28" s="50"/>
      <c r="O28" s="50"/>
      <c r="P28" s="50"/>
      <c r="Q28" s="50"/>
      <c r="R28" s="50"/>
      <c r="S28" s="50"/>
      <c r="T28" s="50"/>
      <c r="U28" s="50"/>
      <c r="V28" s="50"/>
      <c r="W28" s="50"/>
      <c r="X28" s="50"/>
      <c r="Y28" s="50"/>
      <c r="Z28" s="50"/>
    </row>
    <row r="29" ht="143.25" customHeight="1">
      <c r="A29" s="53" t="str">
        <f t="shared" si="3"/>
        <v>AO-01-TC-27</v>
      </c>
      <c r="B29" s="53" t="s">
        <v>872</v>
      </c>
      <c r="C29" s="54" t="s">
        <v>801</v>
      </c>
      <c r="D29" s="62" t="s">
        <v>873</v>
      </c>
      <c r="E29" s="55" t="s">
        <v>816</v>
      </c>
      <c r="F29" s="55" t="s">
        <v>53</v>
      </c>
      <c r="G29" s="56"/>
      <c r="H29" s="50"/>
      <c r="I29" s="50"/>
      <c r="J29" s="50"/>
      <c r="K29" s="50"/>
      <c r="L29" s="50"/>
      <c r="M29" s="50"/>
      <c r="N29" s="50"/>
      <c r="O29" s="50"/>
      <c r="P29" s="50"/>
      <c r="Q29" s="50"/>
      <c r="R29" s="50"/>
      <c r="S29" s="50"/>
      <c r="T29" s="50"/>
      <c r="U29" s="50"/>
      <c r="V29" s="50"/>
      <c r="W29" s="50"/>
      <c r="X29" s="50"/>
      <c r="Y29" s="50"/>
      <c r="Z29" s="50"/>
    </row>
    <row r="30">
      <c r="A30" s="53" t="str">
        <f t="shared" ref="A30:A31" si="4">IF(B29&lt;&gt;"", "AO-01-TC-" &amp; TEXT(COUNTA($B$3:B30), "00"), "")
</f>
        <v>AO-01-TC-28</v>
      </c>
      <c r="B30" s="53" t="s">
        <v>874</v>
      </c>
      <c r="C30" s="54" t="s">
        <v>801</v>
      </c>
      <c r="D30" s="62" t="s">
        <v>875</v>
      </c>
      <c r="E30" s="55" t="s">
        <v>876</v>
      </c>
      <c r="F30" s="55" t="s">
        <v>53</v>
      </c>
      <c r="G30" s="56"/>
      <c r="H30" s="50"/>
      <c r="I30" s="50"/>
      <c r="J30" s="50"/>
      <c r="K30" s="50"/>
      <c r="L30" s="50"/>
      <c r="M30" s="50"/>
      <c r="N30" s="50"/>
      <c r="O30" s="50"/>
      <c r="P30" s="50"/>
      <c r="Q30" s="50"/>
      <c r="R30" s="50"/>
      <c r="S30" s="50"/>
      <c r="T30" s="50"/>
      <c r="U30" s="50"/>
      <c r="V30" s="50"/>
      <c r="W30" s="50"/>
      <c r="X30" s="50"/>
      <c r="Y30" s="50"/>
      <c r="Z30" s="50"/>
    </row>
    <row r="31">
      <c r="A31" s="53" t="str">
        <f t="shared" si="4"/>
        <v>AO-01-TC-29</v>
      </c>
      <c r="B31" s="53" t="s">
        <v>877</v>
      </c>
      <c r="C31" s="54" t="s">
        <v>801</v>
      </c>
      <c r="D31" s="62" t="s">
        <v>878</v>
      </c>
      <c r="E31" s="55" t="s">
        <v>879</v>
      </c>
      <c r="F31" s="55" t="s">
        <v>53</v>
      </c>
      <c r="G31" s="56"/>
      <c r="H31" s="50"/>
      <c r="I31" s="50"/>
      <c r="J31" s="50"/>
      <c r="K31" s="50"/>
      <c r="L31" s="50"/>
      <c r="M31" s="50"/>
      <c r="N31" s="50"/>
      <c r="O31" s="50"/>
      <c r="P31" s="50"/>
      <c r="Q31" s="50"/>
      <c r="R31" s="50"/>
      <c r="S31" s="50"/>
      <c r="T31" s="50"/>
      <c r="U31" s="50"/>
      <c r="V31" s="50"/>
      <c r="W31" s="50"/>
      <c r="X31" s="50"/>
      <c r="Y31" s="50"/>
      <c r="Z31" s="50"/>
    </row>
    <row r="32">
      <c r="A32" s="53" t="str">
        <f>IF(B30&lt;&gt;"", "AO-01-TC-" &amp; TEXT(COUNTA($B$3:B32), "00"), "")
</f>
        <v>AO-01-TC-30</v>
      </c>
      <c r="B32" s="53" t="s">
        <v>880</v>
      </c>
      <c r="C32" s="54" t="s">
        <v>801</v>
      </c>
      <c r="D32" s="62" t="s">
        <v>881</v>
      </c>
      <c r="E32" s="55" t="s">
        <v>882</v>
      </c>
      <c r="F32" s="55" t="s">
        <v>53</v>
      </c>
      <c r="G32" s="56"/>
    </row>
    <row r="33">
      <c r="A33" s="53" t="str">
        <f t="shared" ref="A33:A34" si="5">IF(B32&lt;&gt;"", "AO-01-TC-" &amp; TEXT(COUNTA($B$3:B33), "00"), "")
</f>
        <v>AO-01-TC-31</v>
      </c>
      <c r="B33" s="53" t="s">
        <v>883</v>
      </c>
      <c r="C33" s="54" t="s">
        <v>801</v>
      </c>
      <c r="D33" s="62" t="s">
        <v>884</v>
      </c>
      <c r="E33" s="55" t="s">
        <v>885</v>
      </c>
      <c r="F33" s="55" t="s">
        <v>51</v>
      </c>
      <c r="G33" s="80"/>
    </row>
    <row r="34">
      <c r="A34" s="53" t="str">
        <f t="shared" si="5"/>
        <v>AO-01-TC-32</v>
      </c>
      <c r="B34" s="53" t="s">
        <v>886</v>
      </c>
      <c r="C34" s="54" t="s">
        <v>801</v>
      </c>
      <c r="D34" s="62" t="s">
        <v>887</v>
      </c>
      <c r="E34" s="55" t="s">
        <v>888</v>
      </c>
      <c r="F34" s="55" t="s">
        <v>53</v>
      </c>
      <c r="G34" s="56"/>
    </row>
    <row r="35">
      <c r="A35" s="53" t="str">
        <f t="shared" ref="A35:A51" si="6">IF(B33&lt;&gt;"", "AO-01-TC-" &amp; TEXT(COUNTA($B$3:B35), "00"), "")
</f>
        <v>AO-01-TC-33</v>
      </c>
      <c r="B35" s="53" t="s">
        <v>889</v>
      </c>
      <c r="C35" s="54" t="s">
        <v>801</v>
      </c>
      <c r="D35" s="62" t="s">
        <v>890</v>
      </c>
      <c r="E35" s="55" t="s">
        <v>891</v>
      </c>
      <c r="F35" s="55" t="s">
        <v>53</v>
      </c>
      <c r="G35" s="56"/>
    </row>
    <row r="36">
      <c r="A36" s="53" t="str">
        <f t="shared" si="6"/>
        <v>AO-01-TC-34</v>
      </c>
      <c r="B36" s="53" t="s">
        <v>892</v>
      </c>
      <c r="C36" s="54" t="s">
        <v>801</v>
      </c>
      <c r="D36" s="62" t="s">
        <v>893</v>
      </c>
      <c r="E36" s="55" t="s">
        <v>894</v>
      </c>
      <c r="F36" s="55" t="s">
        <v>53</v>
      </c>
      <c r="G36" s="56"/>
    </row>
    <row r="37">
      <c r="A37" s="53" t="str">
        <f t="shared" si="6"/>
        <v>AO-01-TC-35</v>
      </c>
      <c r="B37" s="53" t="s">
        <v>895</v>
      </c>
      <c r="C37" s="54" t="s">
        <v>801</v>
      </c>
      <c r="D37" s="62" t="s">
        <v>896</v>
      </c>
      <c r="E37" s="55" t="s">
        <v>897</v>
      </c>
      <c r="F37" s="55" t="s">
        <v>53</v>
      </c>
      <c r="G37" s="56"/>
    </row>
    <row r="38">
      <c r="A38" s="53" t="str">
        <f t="shared" si="6"/>
        <v>AO-01-TC-36</v>
      </c>
      <c r="B38" s="64" t="s">
        <v>898</v>
      </c>
      <c r="C38" s="54" t="s">
        <v>801</v>
      </c>
      <c r="D38" s="62" t="s">
        <v>899</v>
      </c>
      <c r="E38" s="55" t="s">
        <v>900</v>
      </c>
      <c r="F38" s="55" t="s">
        <v>53</v>
      </c>
      <c r="G38" s="56"/>
    </row>
    <row r="39">
      <c r="A39" s="53" t="str">
        <f t="shared" si="6"/>
        <v>AO-01-TC-37</v>
      </c>
      <c r="B39" s="53" t="s">
        <v>901</v>
      </c>
      <c r="C39" s="54" t="s">
        <v>801</v>
      </c>
      <c r="D39" s="62" t="s">
        <v>902</v>
      </c>
      <c r="E39" s="55" t="s">
        <v>903</v>
      </c>
      <c r="F39" s="55" t="s">
        <v>53</v>
      </c>
      <c r="G39" s="56"/>
    </row>
    <row r="40">
      <c r="A40" s="53" t="str">
        <f t="shared" si="6"/>
        <v>AO-01-TC-38</v>
      </c>
      <c r="B40" s="64" t="s">
        <v>904</v>
      </c>
      <c r="C40" s="54" t="s">
        <v>801</v>
      </c>
      <c r="D40" s="62" t="s">
        <v>905</v>
      </c>
      <c r="E40" s="55" t="s">
        <v>876</v>
      </c>
      <c r="F40" s="55" t="s">
        <v>53</v>
      </c>
      <c r="G40" s="56"/>
    </row>
    <row r="41">
      <c r="A41" s="53" t="str">
        <f t="shared" si="6"/>
        <v>AO-01-TC-39</v>
      </c>
      <c r="B41" s="53" t="s">
        <v>906</v>
      </c>
      <c r="C41" s="54" t="s">
        <v>801</v>
      </c>
      <c r="D41" s="62" t="s">
        <v>907</v>
      </c>
      <c r="E41" s="55" t="s">
        <v>908</v>
      </c>
      <c r="F41" s="55" t="s">
        <v>53</v>
      </c>
      <c r="G41" s="56"/>
    </row>
    <row r="42">
      <c r="A42" s="53" t="str">
        <f t="shared" si="6"/>
        <v>AO-01-TC-40</v>
      </c>
      <c r="B42" s="53" t="s">
        <v>909</v>
      </c>
      <c r="C42" s="54" t="s">
        <v>801</v>
      </c>
      <c r="D42" s="62" t="s">
        <v>910</v>
      </c>
      <c r="E42" s="55" t="s">
        <v>911</v>
      </c>
      <c r="F42" s="55" t="s">
        <v>53</v>
      </c>
      <c r="G42" s="56"/>
    </row>
    <row r="43">
      <c r="A43" s="53" t="str">
        <f t="shared" si="6"/>
        <v>AO-01-TC-41</v>
      </c>
      <c r="B43" s="53" t="s">
        <v>912</v>
      </c>
      <c r="C43" s="54" t="s">
        <v>801</v>
      </c>
      <c r="D43" s="62" t="s">
        <v>812</v>
      </c>
      <c r="E43" s="55" t="s">
        <v>813</v>
      </c>
      <c r="F43" s="55" t="s">
        <v>53</v>
      </c>
      <c r="G43" s="56"/>
    </row>
    <row r="44">
      <c r="A44" s="53" t="str">
        <f t="shared" si="6"/>
        <v>AO-01-TC-42</v>
      </c>
      <c r="B44" s="53" t="s">
        <v>913</v>
      </c>
      <c r="C44" s="54" t="s">
        <v>801</v>
      </c>
      <c r="D44" s="62" t="s">
        <v>914</v>
      </c>
      <c r="E44" s="55" t="s">
        <v>816</v>
      </c>
      <c r="F44" s="55" t="s">
        <v>53</v>
      </c>
      <c r="G44" s="56"/>
    </row>
    <row r="45">
      <c r="A45" s="53" t="str">
        <f t="shared" si="6"/>
        <v>AO-01-TC-43</v>
      </c>
      <c r="B45" s="53" t="s">
        <v>915</v>
      </c>
      <c r="C45" s="54" t="s">
        <v>801</v>
      </c>
      <c r="D45" s="62" t="s">
        <v>916</v>
      </c>
      <c r="E45" s="55" t="s">
        <v>917</v>
      </c>
      <c r="F45" s="55" t="s">
        <v>53</v>
      </c>
      <c r="G45" s="56"/>
    </row>
    <row r="46">
      <c r="A46" s="53" t="str">
        <f t="shared" si="6"/>
        <v>AO-01-TC-44</v>
      </c>
      <c r="B46" s="53" t="s">
        <v>918</v>
      </c>
      <c r="C46" s="54" t="s">
        <v>801</v>
      </c>
      <c r="D46" s="62" t="s">
        <v>919</v>
      </c>
      <c r="E46" s="55" t="s">
        <v>920</v>
      </c>
      <c r="F46" s="55" t="s">
        <v>53</v>
      </c>
      <c r="G46" s="56"/>
    </row>
    <row r="47">
      <c r="A47" s="53" t="str">
        <f t="shared" si="6"/>
        <v>AO-01-TC-45</v>
      </c>
      <c r="B47" s="53" t="s">
        <v>921</v>
      </c>
      <c r="C47" s="54" t="s">
        <v>801</v>
      </c>
      <c r="D47" s="62" t="s">
        <v>922</v>
      </c>
      <c r="E47" s="55" t="s">
        <v>923</v>
      </c>
      <c r="F47" s="55" t="s">
        <v>53</v>
      </c>
      <c r="G47" s="56"/>
    </row>
    <row r="48">
      <c r="A48" s="53" t="str">
        <f t="shared" si="6"/>
        <v>AO-01-TC-46</v>
      </c>
      <c r="B48" s="53" t="s">
        <v>924</v>
      </c>
      <c r="C48" s="54" t="s">
        <v>801</v>
      </c>
      <c r="D48" s="62" t="s">
        <v>925</v>
      </c>
      <c r="E48" s="55" t="s">
        <v>903</v>
      </c>
      <c r="F48" s="55" t="s">
        <v>53</v>
      </c>
      <c r="G48" s="56"/>
    </row>
    <row r="49">
      <c r="A49" s="53" t="str">
        <f t="shared" si="6"/>
        <v>AO-01-TC-47</v>
      </c>
      <c r="B49" s="53" t="s">
        <v>926</v>
      </c>
      <c r="C49" s="54" t="s">
        <v>801</v>
      </c>
      <c r="D49" s="62" t="s">
        <v>927</v>
      </c>
      <c r="E49" s="55" t="s">
        <v>876</v>
      </c>
      <c r="F49" s="55" t="s">
        <v>53</v>
      </c>
      <c r="G49" s="56"/>
    </row>
    <row r="50">
      <c r="A50" s="53" t="str">
        <f t="shared" si="6"/>
        <v>AO-01-TC-48</v>
      </c>
      <c r="B50" s="53" t="s">
        <v>928</v>
      </c>
      <c r="C50" s="54" t="s">
        <v>801</v>
      </c>
      <c r="D50" s="62" t="s">
        <v>929</v>
      </c>
      <c r="E50" s="55" t="s">
        <v>930</v>
      </c>
      <c r="F50" s="55" t="s">
        <v>53</v>
      </c>
      <c r="G50" s="56"/>
    </row>
    <row r="51">
      <c r="A51" s="53" t="str">
        <f t="shared" si="6"/>
        <v>AO-01-TC-49</v>
      </c>
      <c r="B51" s="64" t="s">
        <v>931</v>
      </c>
      <c r="C51" s="54" t="s">
        <v>801</v>
      </c>
      <c r="D51" s="62" t="s">
        <v>932</v>
      </c>
      <c r="E51" s="55" t="s">
        <v>933</v>
      </c>
      <c r="F51" s="55" t="s">
        <v>53</v>
      </c>
      <c r="G51" s="56"/>
    </row>
    <row r="52">
      <c r="A52" s="53" t="str">
        <f t="shared" ref="A52:A53" si="7">IF(B51&lt;&gt;"", "AO-01-TC-" &amp; TEXT(COUNTA($B$3:B52), "00"), "")
</f>
        <v>AO-01-TC-50</v>
      </c>
      <c r="B52" s="53" t="s">
        <v>934</v>
      </c>
      <c r="C52" s="54" t="s">
        <v>801</v>
      </c>
      <c r="D52" s="62" t="s">
        <v>935</v>
      </c>
      <c r="E52" s="55" t="s">
        <v>936</v>
      </c>
      <c r="F52" s="55" t="s">
        <v>53</v>
      </c>
      <c r="G52" s="56"/>
    </row>
    <row r="53">
      <c r="A53" s="53" t="str">
        <f t="shared" si="7"/>
        <v>AO-01-TC-51</v>
      </c>
      <c r="B53" s="53" t="s">
        <v>937</v>
      </c>
      <c r="C53" s="54" t="s">
        <v>801</v>
      </c>
      <c r="D53" s="62" t="s">
        <v>938</v>
      </c>
      <c r="E53" s="55" t="s">
        <v>813</v>
      </c>
      <c r="F53" s="55" t="s">
        <v>53</v>
      </c>
      <c r="G53" s="56"/>
    </row>
    <row r="54">
      <c r="A54" s="53" t="str">
        <f t="shared" ref="A54:A56" si="8">IF(B52&lt;&gt;"", "AO-01-TC-" &amp; TEXT(COUNTA($B$3:B54), "00"), "")
</f>
        <v>AO-01-TC-52</v>
      </c>
      <c r="B54" s="53" t="s">
        <v>939</v>
      </c>
      <c r="C54" s="54" t="s">
        <v>801</v>
      </c>
      <c r="D54" s="62" t="s">
        <v>940</v>
      </c>
      <c r="E54" s="55" t="s">
        <v>816</v>
      </c>
      <c r="F54" s="55" t="s">
        <v>53</v>
      </c>
      <c r="G54" s="56"/>
    </row>
    <row r="55">
      <c r="A55" s="53" t="str">
        <f t="shared" si="8"/>
        <v>AO-01-TC-53</v>
      </c>
      <c r="B55" s="53" t="s">
        <v>941</v>
      </c>
      <c r="C55" s="54" t="s">
        <v>801</v>
      </c>
      <c r="D55" s="62" t="s">
        <v>942</v>
      </c>
      <c r="E55" s="55" t="s">
        <v>943</v>
      </c>
      <c r="F55" s="55" t="s">
        <v>53</v>
      </c>
      <c r="G55" s="56"/>
    </row>
    <row r="56">
      <c r="A56" s="53" t="str">
        <f t="shared" si="8"/>
        <v>AO-01-TC-54</v>
      </c>
      <c r="B56" s="53" t="s">
        <v>944</v>
      </c>
      <c r="C56" s="54" t="s">
        <v>801</v>
      </c>
      <c r="D56" s="62" t="s">
        <v>945</v>
      </c>
      <c r="E56" s="55" t="s">
        <v>946</v>
      </c>
      <c r="F56" s="55" t="s">
        <v>53</v>
      </c>
      <c r="G56" s="56"/>
    </row>
    <row r="57">
      <c r="A57" s="53" t="str">
        <f t="shared" ref="A57:A60" si="9">IF(B56&lt;&gt;"", "AO-01-TC-" &amp; TEXT(COUNTA($B$3:B57), "00"), "")
</f>
        <v>AO-01-TC-55</v>
      </c>
      <c r="B57" s="53" t="s">
        <v>947</v>
      </c>
      <c r="C57" s="54" t="s">
        <v>801</v>
      </c>
      <c r="D57" s="62" t="s">
        <v>925</v>
      </c>
      <c r="E57" s="55" t="s">
        <v>903</v>
      </c>
      <c r="F57" s="55" t="s">
        <v>53</v>
      </c>
      <c r="G57" s="56"/>
    </row>
    <row r="58">
      <c r="A58" s="53" t="str">
        <f t="shared" si="9"/>
        <v>AO-01-TC-56</v>
      </c>
      <c r="B58" s="53" t="s">
        <v>948</v>
      </c>
      <c r="C58" s="54" t="s">
        <v>801</v>
      </c>
      <c r="D58" s="62" t="s">
        <v>949</v>
      </c>
      <c r="E58" s="55" t="s">
        <v>950</v>
      </c>
      <c r="F58" s="55" t="s">
        <v>50</v>
      </c>
      <c r="G58" s="56"/>
    </row>
    <row r="59">
      <c r="A59" s="53" t="str">
        <f t="shared" si="9"/>
        <v>AO-01-TC-57</v>
      </c>
      <c r="B59" s="53" t="s">
        <v>951</v>
      </c>
      <c r="C59" s="54" t="s">
        <v>801</v>
      </c>
      <c r="D59" s="62" t="s">
        <v>952</v>
      </c>
      <c r="E59" s="55" t="s">
        <v>876</v>
      </c>
      <c r="F59" s="55" t="s">
        <v>53</v>
      </c>
      <c r="G59" s="56"/>
    </row>
    <row r="60">
      <c r="A60" s="53" t="str">
        <f t="shared" si="9"/>
        <v>AO-01-TC-58</v>
      </c>
      <c r="B60" s="53" t="s">
        <v>953</v>
      </c>
      <c r="C60" s="54" t="s">
        <v>801</v>
      </c>
      <c r="D60" s="62" t="s">
        <v>954</v>
      </c>
      <c r="E60" s="55" t="s">
        <v>955</v>
      </c>
      <c r="F60" s="55" t="s">
        <v>53</v>
      </c>
      <c r="G60" s="56"/>
    </row>
    <row r="61">
      <c r="A61" s="53" t="str">
        <f t="shared" ref="A61:A76" si="10">IF(B59&lt;&gt;"", "AO-01-TC-" &amp; TEXT(COUNTA($B$3:B61), "00"), "")
</f>
        <v>AO-01-TC-59</v>
      </c>
      <c r="B61" s="53" t="s">
        <v>956</v>
      </c>
      <c r="C61" s="54" t="s">
        <v>801</v>
      </c>
      <c r="D61" s="62" t="s">
        <v>957</v>
      </c>
      <c r="E61" s="55" t="s">
        <v>955</v>
      </c>
      <c r="F61" s="55" t="s">
        <v>53</v>
      </c>
      <c r="G61" s="56"/>
    </row>
    <row r="62">
      <c r="A62" s="53" t="str">
        <f t="shared" si="10"/>
        <v>AO-01-TC-60</v>
      </c>
      <c r="B62" s="53" t="s">
        <v>958</v>
      </c>
      <c r="C62" s="54" t="s">
        <v>801</v>
      </c>
      <c r="D62" s="62" t="s">
        <v>938</v>
      </c>
      <c r="E62" s="55" t="s">
        <v>813</v>
      </c>
      <c r="F62" s="55" t="s">
        <v>53</v>
      </c>
      <c r="G62" s="56"/>
    </row>
    <row r="63">
      <c r="A63" s="53" t="str">
        <f t="shared" si="10"/>
        <v>AO-01-TC-61</v>
      </c>
      <c r="B63" s="53" t="s">
        <v>959</v>
      </c>
      <c r="C63" s="54" t="s">
        <v>801</v>
      </c>
      <c r="D63" s="62" t="s">
        <v>940</v>
      </c>
      <c r="E63" s="55" t="s">
        <v>816</v>
      </c>
      <c r="F63" s="55" t="s">
        <v>53</v>
      </c>
      <c r="G63" s="56"/>
    </row>
    <row r="64">
      <c r="A64" s="53" t="str">
        <f t="shared" si="10"/>
        <v>AO-01-TC-62</v>
      </c>
      <c r="B64" s="53" t="s">
        <v>960</v>
      </c>
      <c r="C64" s="54" t="s">
        <v>801</v>
      </c>
      <c r="D64" s="62" t="s">
        <v>961</v>
      </c>
      <c r="E64" s="55" t="s">
        <v>876</v>
      </c>
      <c r="F64" s="55" t="s">
        <v>53</v>
      </c>
      <c r="G64" s="56"/>
    </row>
    <row r="65">
      <c r="A65" s="53" t="str">
        <f t="shared" si="10"/>
        <v>AO-01-TC-63</v>
      </c>
      <c r="B65" s="70" t="s">
        <v>962</v>
      </c>
      <c r="C65" s="54" t="s">
        <v>801</v>
      </c>
      <c r="D65" s="62" t="s">
        <v>896</v>
      </c>
      <c r="E65" s="55" t="s">
        <v>897</v>
      </c>
      <c r="F65" s="55" t="s">
        <v>53</v>
      </c>
      <c r="G65" s="79"/>
    </row>
    <row r="66">
      <c r="A66" s="53" t="str">
        <f t="shared" si="10"/>
        <v>AO-01-TC-64</v>
      </c>
      <c r="B66" s="70" t="s">
        <v>963</v>
      </c>
      <c r="C66" s="54" t="s">
        <v>801</v>
      </c>
      <c r="D66" s="62" t="s">
        <v>899</v>
      </c>
      <c r="E66" s="55" t="s">
        <v>900</v>
      </c>
      <c r="F66" s="55" t="s">
        <v>53</v>
      </c>
      <c r="G66" s="79"/>
    </row>
    <row r="67">
      <c r="A67" s="53" t="str">
        <f t="shared" si="10"/>
        <v>AO-01-TC-65</v>
      </c>
      <c r="B67" s="70" t="s">
        <v>964</v>
      </c>
      <c r="C67" s="54" t="s">
        <v>801</v>
      </c>
      <c r="D67" s="62" t="s">
        <v>902</v>
      </c>
      <c r="E67" s="55" t="s">
        <v>903</v>
      </c>
      <c r="F67" s="55" t="s">
        <v>53</v>
      </c>
      <c r="G67" s="79"/>
    </row>
    <row r="68">
      <c r="A68" s="53" t="str">
        <f t="shared" si="10"/>
        <v>AO-01-TC-66</v>
      </c>
      <c r="B68" s="70" t="s">
        <v>965</v>
      </c>
      <c r="C68" s="54" t="s">
        <v>801</v>
      </c>
      <c r="D68" s="127" t="s">
        <v>966</v>
      </c>
      <c r="E68" s="70" t="s">
        <v>967</v>
      </c>
      <c r="F68" s="55" t="s">
        <v>50</v>
      </c>
      <c r="G68" s="114" t="s">
        <v>160</v>
      </c>
    </row>
    <row r="69">
      <c r="A69" s="53" t="str">
        <f t="shared" si="10"/>
        <v>AO-01-TC-67</v>
      </c>
      <c r="B69" s="70" t="s">
        <v>968</v>
      </c>
      <c r="C69" s="54" t="s">
        <v>801</v>
      </c>
      <c r="D69" s="70" t="s">
        <v>969</v>
      </c>
      <c r="E69" s="70" t="s">
        <v>876</v>
      </c>
      <c r="F69" s="55" t="s">
        <v>53</v>
      </c>
      <c r="G69" s="79"/>
    </row>
    <row r="70">
      <c r="A70" s="53" t="str">
        <f t="shared" si="10"/>
        <v>AO-01-TC-68</v>
      </c>
      <c r="B70" s="70" t="s">
        <v>970</v>
      </c>
      <c r="C70" s="54" t="s">
        <v>801</v>
      </c>
      <c r="D70" s="127" t="s">
        <v>971</v>
      </c>
      <c r="E70" s="70" t="s">
        <v>876</v>
      </c>
      <c r="F70" s="55" t="s">
        <v>53</v>
      </c>
      <c r="G70" s="79"/>
    </row>
    <row r="71">
      <c r="A71" s="53" t="str">
        <f t="shared" si="10"/>
        <v>AO-01-TC-69</v>
      </c>
      <c r="B71" s="70" t="s">
        <v>972</v>
      </c>
      <c r="C71" s="54" t="s">
        <v>801</v>
      </c>
      <c r="D71" s="146" t="s">
        <v>973</v>
      </c>
      <c r="E71" s="70" t="s">
        <v>876</v>
      </c>
      <c r="F71" s="55" t="s">
        <v>53</v>
      </c>
      <c r="G71" s="79"/>
    </row>
    <row r="72">
      <c r="A72" s="53" t="str">
        <f t="shared" si="10"/>
        <v>AO-01-TC-70</v>
      </c>
      <c r="B72" s="70" t="s">
        <v>974</v>
      </c>
      <c r="C72" s="54" t="s">
        <v>801</v>
      </c>
      <c r="D72" s="70" t="s">
        <v>975</v>
      </c>
      <c r="E72" s="70" t="s">
        <v>976</v>
      </c>
      <c r="F72" s="55" t="s">
        <v>53</v>
      </c>
      <c r="G72" s="79"/>
    </row>
    <row r="73">
      <c r="A73" s="53" t="str">
        <f t="shared" si="10"/>
        <v>AO-01-TC-71</v>
      </c>
      <c r="B73" s="70" t="s">
        <v>977</v>
      </c>
      <c r="C73" s="54" t="s">
        <v>801</v>
      </c>
      <c r="D73" s="62" t="s">
        <v>812</v>
      </c>
      <c r="E73" s="55" t="s">
        <v>813</v>
      </c>
      <c r="F73" s="55" t="s">
        <v>53</v>
      </c>
      <c r="G73" s="79"/>
    </row>
    <row r="74">
      <c r="A74" s="53" t="str">
        <f t="shared" si="10"/>
        <v>AO-01-TC-72</v>
      </c>
      <c r="B74" s="70" t="s">
        <v>978</v>
      </c>
      <c r="C74" s="54" t="s">
        <v>801</v>
      </c>
      <c r="D74" s="62" t="s">
        <v>914</v>
      </c>
      <c r="E74" s="55" t="s">
        <v>816</v>
      </c>
      <c r="F74" s="55" t="s">
        <v>53</v>
      </c>
      <c r="G74" s="79"/>
    </row>
    <row r="75">
      <c r="A75" s="53" t="str">
        <f t="shared" si="10"/>
        <v>AO-01-TC-73</v>
      </c>
      <c r="B75" s="70" t="s">
        <v>979</v>
      </c>
      <c r="C75" s="54" t="s">
        <v>801</v>
      </c>
      <c r="D75" s="127" t="s">
        <v>980</v>
      </c>
      <c r="E75" s="127" t="s">
        <v>981</v>
      </c>
      <c r="F75" s="55" t="s">
        <v>53</v>
      </c>
      <c r="G75" s="79"/>
    </row>
    <row r="76">
      <c r="A76" s="53" t="str">
        <f t="shared" si="10"/>
        <v>AO-01-TC-74</v>
      </c>
      <c r="B76" s="70" t="s">
        <v>982</v>
      </c>
      <c r="C76" s="54" t="s">
        <v>801</v>
      </c>
      <c r="D76" s="127" t="s">
        <v>983</v>
      </c>
      <c r="E76" s="127" t="s">
        <v>984</v>
      </c>
      <c r="F76" s="55" t="s">
        <v>53</v>
      </c>
      <c r="G76" s="79"/>
    </row>
    <row r="77">
      <c r="A77" s="53" t="str">
        <f t="shared" ref="A77:A78" si="11">IF(B76&lt;&gt;"", "AO-01-TC-" &amp; TEXT(COUNTA($B$3:B77), "00"), "")
</f>
        <v>AO-01-TC-75</v>
      </c>
      <c r="B77" s="70" t="s">
        <v>985</v>
      </c>
      <c r="C77" s="54" t="s">
        <v>801</v>
      </c>
      <c r="D77" s="127" t="s">
        <v>986</v>
      </c>
      <c r="E77" s="127" t="s">
        <v>987</v>
      </c>
      <c r="F77" s="55" t="s">
        <v>50</v>
      </c>
      <c r="G77" s="114" t="s">
        <v>160</v>
      </c>
    </row>
    <row r="78">
      <c r="A78" s="53" t="str">
        <f t="shared" si="11"/>
        <v>AO-01-TC-76</v>
      </c>
      <c r="B78" s="70" t="s">
        <v>988</v>
      </c>
      <c r="C78" s="54" t="s">
        <v>801</v>
      </c>
      <c r="D78" s="70" t="s">
        <v>989</v>
      </c>
      <c r="E78" s="70" t="s">
        <v>876</v>
      </c>
      <c r="F78" s="55" t="s">
        <v>53</v>
      </c>
      <c r="G78" s="79"/>
    </row>
    <row r="79">
      <c r="A79" s="53" t="str">
        <f t="shared" ref="A79:A86" si="12">IF(B77&lt;&gt;"", "AO-01-TC-" &amp; TEXT(COUNTA($B$3:B79), "00"), "")
</f>
        <v>AO-01-TC-77</v>
      </c>
      <c r="B79" s="70" t="s">
        <v>990</v>
      </c>
      <c r="C79" s="54" t="s">
        <v>801</v>
      </c>
      <c r="D79" s="70" t="s">
        <v>991</v>
      </c>
      <c r="E79" s="70" t="s">
        <v>876</v>
      </c>
      <c r="F79" s="55" t="s">
        <v>53</v>
      </c>
      <c r="G79" s="79"/>
    </row>
    <row r="80">
      <c r="A80" s="53" t="str">
        <f t="shared" si="12"/>
        <v>AO-01-TC-78</v>
      </c>
      <c r="B80" s="70" t="s">
        <v>992</v>
      </c>
      <c r="C80" s="54" t="s">
        <v>801</v>
      </c>
      <c r="D80" s="70" t="s">
        <v>993</v>
      </c>
      <c r="E80" s="70" t="s">
        <v>994</v>
      </c>
      <c r="F80" s="55" t="s">
        <v>53</v>
      </c>
      <c r="G80" s="79"/>
    </row>
    <row r="81">
      <c r="A81" s="53" t="str">
        <f t="shared" si="12"/>
        <v>AO-01-TC-79</v>
      </c>
      <c r="B81" s="70" t="s">
        <v>995</v>
      </c>
      <c r="C81" s="54" t="s">
        <v>801</v>
      </c>
      <c r="D81" s="70" t="s">
        <v>996</v>
      </c>
      <c r="E81" s="70" t="s">
        <v>876</v>
      </c>
      <c r="F81" s="55" t="s">
        <v>53</v>
      </c>
      <c r="G81" s="79"/>
    </row>
    <row r="82">
      <c r="A82" s="53" t="str">
        <f t="shared" si="12"/>
        <v>AO-01-TC-80</v>
      </c>
      <c r="B82" s="70" t="s">
        <v>997</v>
      </c>
      <c r="C82" s="54" t="s">
        <v>801</v>
      </c>
      <c r="D82" s="62" t="s">
        <v>938</v>
      </c>
      <c r="E82" s="55" t="s">
        <v>813</v>
      </c>
      <c r="F82" s="55" t="s">
        <v>53</v>
      </c>
      <c r="G82" s="79"/>
    </row>
    <row r="83">
      <c r="A83" s="53" t="str">
        <f t="shared" si="12"/>
        <v>AO-01-TC-81</v>
      </c>
      <c r="B83" s="70" t="s">
        <v>998</v>
      </c>
      <c r="C83" s="54" t="s">
        <v>801</v>
      </c>
      <c r="D83" s="62" t="s">
        <v>940</v>
      </c>
      <c r="E83" s="55" t="s">
        <v>816</v>
      </c>
      <c r="F83" s="55" t="s">
        <v>53</v>
      </c>
      <c r="G83" s="79"/>
    </row>
    <row r="84">
      <c r="A84" s="53" t="str">
        <f t="shared" si="12"/>
        <v>AO-01-TC-82</v>
      </c>
      <c r="B84" s="70" t="s">
        <v>999</v>
      </c>
      <c r="C84" s="54" t="s">
        <v>801</v>
      </c>
      <c r="D84" s="70" t="s">
        <v>1000</v>
      </c>
      <c r="E84" s="70" t="s">
        <v>876</v>
      </c>
      <c r="F84" s="55" t="s">
        <v>53</v>
      </c>
      <c r="G84" s="79"/>
    </row>
    <row r="85">
      <c r="A85" s="53" t="str">
        <f t="shared" si="12"/>
        <v>AO-01-TC-83</v>
      </c>
      <c r="B85" s="70" t="s">
        <v>1001</v>
      </c>
      <c r="C85" s="54" t="s">
        <v>801</v>
      </c>
      <c r="D85" s="70" t="s">
        <v>1002</v>
      </c>
      <c r="E85" s="70" t="s">
        <v>1003</v>
      </c>
      <c r="F85" s="55" t="s">
        <v>53</v>
      </c>
      <c r="G85" s="79"/>
    </row>
    <row r="86">
      <c r="A86" s="53" t="str">
        <f t="shared" si="12"/>
        <v>AO-01-TC-84</v>
      </c>
      <c r="B86" s="70" t="s">
        <v>1004</v>
      </c>
      <c r="C86" s="54" t="s">
        <v>801</v>
      </c>
      <c r="D86" s="70" t="s">
        <v>1005</v>
      </c>
      <c r="E86" s="70" t="s">
        <v>876</v>
      </c>
      <c r="F86" s="55" t="s">
        <v>53</v>
      </c>
      <c r="G86" s="79"/>
    </row>
    <row r="87">
      <c r="A87" s="53" t="str">
        <f t="shared" ref="A87:A88" si="13">IF(B86&lt;&gt;"", "AO-01-TC-" &amp; TEXT(COUNTA($B$3:B87), "00"), "")
</f>
        <v>AO-01-TC-85</v>
      </c>
      <c r="B87" s="70" t="s">
        <v>1006</v>
      </c>
      <c r="C87" s="54" t="s">
        <v>801</v>
      </c>
      <c r="D87" s="70" t="s">
        <v>1007</v>
      </c>
      <c r="E87" s="70" t="s">
        <v>1008</v>
      </c>
      <c r="F87" s="55" t="s">
        <v>53</v>
      </c>
      <c r="G87" s="79"/>
    </row>
    <row r="88">
      <c r="A88" s="53" t="str">
        <f t="shared" si="13"/>
        <v>AO-01-TC-86</v>
      </c>
      <c r="B88" s="70" t="s">
        <v>1009</v>
      </c>
      <c r="C88" s="54" t="s">
        <v>801</v>
      </c>
      <c r="D88" s="62" t="s">
        <v>902</v>
      </c>
      <c r="E88" s="55" t="s">
        <v>903</v>
      </c>
      <c r="F88" s="55" t="s">
        <v>53</v>
      </c>
      <c r="G88" s="79"/>
    </row>
  </sheetData>
  <dataValidations>
    <dataValidation type="list" allowBlank="1" sqref="F3:F88">
      <formula1>"OPEN,BLOCKED,PASSED,FAILED"</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4.75"/>
    <col customWidth="1" min="2" max="2" width="61.13"/>
    <col customWidth="1" min="3" max="3" width="50.13"/>
    <col customWidth="1" min="4" max="4" width="48.38"/>
    <col customWidth="1" min="5" max="5" width="56.63"/>
    <col customWidth="1" min="6" max="6" width="21.63"/>
    <col customWidth="1" min="7" max="7" width="22.75"/>
  </cols>
  <sheetData>
    <row r="1">
      <c r="A1" s="47" t="s">
        <v>47</v>
      </c>
      <c r="B1" s="97" t="s">
        <v>1010</v>
      </c>
      <c r="C1" s="49"/>
      <c r="D1" s="49"/>
      <c r="E1" s="49"/>
      <c r="F1" s="49"/>
      <c r="G1" s="49"/>
      <c r="H1" s="50"/>
      <c r="I1" s="50"/>
      <c r="J1" s="50"/>
      <c r="K1" s="50"/>
      <c r="L1" s="50"/>
      <c r="M1" s="50"/>
      <c r="N1" s="50"/>
      <c r="O1" s="50"/>
      <c r="P1" s="50"/>
      <c r="Q1" s="50"/>
      <c r="R1" s="50"/>
      <c r="S1" s="50"/>
      <c r="T1" s="50"/>
      <c r="U1" s="50"/>
      <c r="V1" s="50"/>
      <c r="W1" s="50"/>
      <c r="X1" s="50"/>
      <c r="Y1" s="50"/>
      <c r="Z1" s="50"/>
    </row>
    <row r="2">
      <c r="A2" s="51" t="s">
        <v>14</v>
      </c>
      <c r="B2" s="51" t="s">
        <v>16</v>
      </c>
      <c r="C2" s="52" t="s">
        <v>18</v>
      </c>
      <c r="D2" s="52" t="s">
        <v>20</v>
      </c>
      <c r="E2" s="52" t="s">
        <v>219</v>
      </c>
      <c r="F2" s="52" t="s">
        <v>24</v>
      </c>
      <c r="G2" s="52" t="s">
        <v>26</v>
      </c>
      <c r="H2" s="50"/>
      <c r="I2" s="50"/>
      <c r="J2" s="50"/>
      <c r="K2" s="50"/>
      <c r="L2" s="50"/>
      <c r="M2" s="50"/>
      <c r="N2" s="50"/>
      <c r="O2" s="50"/>
      <c r="P2" s="50"/>
      <c r="Q2" s="50"/>
      <c r="R2" s="50"/>
      <c r="S2" s="50"/>
      <c r="T2" s="50"/>
      <c r="U2" s="50"/>
      <c r="V2" s="50"/>
      <c r="W2" s="50"/>
      <c r="X2" s="50"/>
      <c r="Y2" s="50"/>
      <c r="Z2" s="50"/>
    </row>
    <row r="3">
      <c r="A3" s="53" t="str">
        <f t="shared" ref="A3:A30" si="1">IF(B1&lt;&gt;"", "AO-02-TC-" &amp; TEXT(COUNTA($B$3:B3), "00"), "")
</f>
        <v>AO-02-TC-01</v>
      </c>
      <c r="B3" s="53" t="s">
        <v>1011</v>
      </c>
      <c r="C3" s="54" t="s">
        <v>1012</v>
      </c>
      <c r="D3" s="54" t="s">
        <v>1013</v>
      </c>
      <c r="E3" s="55" t="s">
        <v>1014</v>
      </c>
      <c r="F3" s="55" t="s">
        <v>53</v>
      </c>
      <c r="G3" s="55"/>
      <c r="H3" s="50"/>
      <c r="I3" s="50"/>
      <c r="J3" s="50"/>
      <c r="K3" s="50"/>
      <c r="L3" s="50"/>
      <c r="M3" s="50"/>
      <c r="N3" s="50"/>
      <c r="O3" s="50"/>
      <c r="P3" s="50"/>
      <c r="Q3" s="50"/>
      <c r="R3" s="50"/>
      <c r="S3" s="50"/>
      <c r="T3" s="50"/>
      <c r="U3" s="50"/>
      <c r="V3" s="50"/>
      <c r="W3" s="50"/>
      <c r="X3" s="50"/>
      <c r="Y3" s="50"/>
      <c r="Z3" s="50"/>
    </row>
    <row r="4">
      <c r="A4" s="53" t="str">
        <f t="shared" si="1"/>
        <v>AO-02-TC-02</v>
      </c>
      <c r="B4" s="53" t="s">
        <v>1015</v>
      </c>
      <c r="C4" s="54" t="s">
        <v>1012</v>
      </c>
      <c r="D4" s="54" t="s">
        <v>1016</v>
      </c>
      <c r="E4" s="55" t="s">
        <v>1017</v>
      </c>
      <c r="F4" s="55" t="s">
        <v>53</v>
      </c>
      <c r="G4" s="55" t="s">
        <v>59</v>
      </c>
      <c r="H4" s="50"/>
      <c r="I4" s="50"/>
      <c r="J4" s="50"/>
      <c r="K4" s="50"/>
      <c r="L4" s="50"/>
      <c r="M4" s="50"/>
      <c r="N4" s="50"/>
      <c r="O4" s="50"/>
      <c r="P4" s="50"/>
      <c r="Q4" s="50"/>
      <c r="R4" s="50"/>
      <c r="S4" s="50"/>
      <c r="T4" s="50"/>
      <c r="U4" s="50"/>
      <c r="V4" s="50"/>
      <c r="W4" s="50"/>
      <c r="X4" s="50"/>
      <c r="Y4" s="50"/>
      <c r="Z4" s="50"/>
    </row>
    <row r="5">
      <c r="A5" s="53" t="str">
        <f t="shared" si="1"/>
        <v>AO-02-TC-03</v>
      </c>
      <c r="B5" s="139" t="s">
        <v>1018</v>
      </c>
      <c r="C5" s="54" t="s">
        <v>1012</v>
      </c>
      <c r="D5" s="140" t="s">
        <v>1019</v>
      </c>
      <c r="E5" s="141" t="s">
        <v>1020</v>
      </c>
      <c r="F5" s="55" t="s">
        <v>53</v>
      </c>
      <c r="G5" s="141"/>
      <c r="H5" s="50"/>
      <c r="I5" s="50"/>
      <c r="J5" s="50"/>
      <c r="K5" s="50"/>
      <c r="L5" s="50"/>
      <c r="M5" s="50"/>
      <c r="N5" s="50"/>
      <c r="O5" s="50"/>
      <c r="P5" s="50"/>
      <c r="Q5" s="50"/>
      <c r="R5" s="50"/>
      <c r="S5" s="50"/>
      <c r="T5" s="50"/>
      <c r="U5" s="50"/>
      <c r="V5" s="50"/>
      <c r="W5" s="50"/>
      <c r="X5" s="50"/>
      <c r="Y5" s="50"/>
      <c r="Z5" s="50"/>
    </row>
    <row r="6">
      <c r="A6" s="53" t="str">
        <f t="shared" si="1"/>
        <v>AO-02-TC-04</v>
      </c>
      <c r="B6" s="53" t="s">
        <v>1021</v>
      </c>
      <c r="C6" s="54" t="s">
        <v>1012</v>
      </c>
      <c r="D6" s="54" t="s">
        <v>1022</v>
      </c>
      <c r="E6" s="55" t="s">
        <v>1023</v>
      </c>
      <c r="F6" s="55" t="s">
        <v>53</v>
      </c>
      <c r="G6" s="56"/>
      <c r="H6" s="50"/>
      <c r="I6" s="50"/>
      <c r="J6" s="50"/>
      <c r="K6" s="50"/>
      <c r="L6" s="50"/>
      <c r="M6" s="50"/>
      <c r="N6" s="50"/>
      <c r="O6" s="50"/>
      <c r="P6" s="50"/>
      <c r="Q6" s="50"/>
      <c r="R6" s="50"/>
      <c r="S6" s="50"/>
      <c r="T6" s="50"/>
      <c r="U6" s="50"/>
      <c r="V6" s="50"/>
      <c r="W6" s="50"/>
      <c r="X6" s="50"/>
      <c r="Y6" s="50"/>
      <c r="Z6" s="50"/>
    </row>
    <row r="7">
      <c r="A7" s="53" t="str">
        <f t="shared" si="1"/>
        <v>AO-02-TC-05</v>
      </c>
      <c r="B7" s="53" t="s">
        <v>1024</v>
      </c>
      <c r="C7" s="54" t="s">
        <v>1012</v>
      </c>
      <c r="D7" s="54" t="s">
        <v>1025</v>
      </c>
      <c r="E7" s="55" t="s">
        <v>1026</v>
      </c>
      <c r="F7" s="55" t="s">
        <v>53</v>
      </c>
      <c r="G7" s="56"/>
      <c r="H7" s="50"/>
      <c r="I7" s="50"/>
      <c r="J7" s="50"/>
      <c r="K7" s="50"/>
      <c r="L7" s="50"/>
      <c r="M7" s="50"/>
      <c r="N7" s="50"/>
      <c r="O7" s="50"/>
      <c r="P7" s="50"/>
      <c r="Q7" s="50"/>
      <c r="R7" s="50"/>
      <c r="S7" s="50"/>
      <c r="T7" s="50"/>
      <c r="U7" s="50"/>
      <c r="V7" s="50"/>
      <c r="W7" s="50"/>
      <c r="X7" s="50"/>
      <c r="Y7" s="50"/>
      <c r="Z7" s="50"/>
    </row>
    <row r="8">
      <c r="A8" s="53" t="str">
        <f t="shared" si="1"/>
        <v>AO-02-TC-06</v>
      </c>
      <c r="B8" s="64" t="s">
        <v>1027</v>
      </c>
      <c r="C8" s="54" t="s">
        <v>1012</v>
      </c>
      <c r="D8" s="54" t="s">
        <v>1028</v>
      </c>
      <c r="E8" s="55" t="s">
        <v>1029</v>
      </c>
      <c r="F8" s="55" t="s">
        <v>53</v>
      </c>
      <c r="G8" s="56"/>
      <c r="H8" s="50"/>
      <c r="I8" s="50"/>
      <c r="J8" s="50"/>
      <c r="K8" s="50"/>
      <c r="L8" s="50"/>
      <c r="M8" s="50"/>
      <c r="N8" s="50"/>
      <c r="O8" s="50"/>
      <c r="P8" s="50"/>
      <c r="Q8" s="50"/>
      <c r="R8" s="50"/>
      <c r="S8" s="50"/>
      <c r="T8" s="50"/>
      <c r="U8" s="50"/>
      <c r="V8" s="50"/>
      <c r="W8" s="50"/>
      <c r="X8" s="50"/>
      <c r="Y8" s="50"/>
      <c r="Z8" s="50"/>
    </row>
    <row r="9">
      <c r="A9" s="53" t="str">
        <f t="shared" si="1"/>
        <v>AO-02-TC-07</v>
      </c>
      <c r="B9" s="53" t="s">
        <v>1030</v>
      </c>
      <c r="C9" s="54" t="s">
        <v>1012</v>
      </c>
      <c r="D9" s="54" t="s">
        <v>1031</v>
      </c>
      <c r="E9" s="55" t="s">
        <v>1032</v>
      </c>
      <c r="F9" s="55" t="s">
        <v>53</v>
      </c>
      <c r="G9" s="56"/>
      <c r="H9" s="50"/>
      <c r="I9" s="50"/>
      <c r="J9" s="50"/>
      <c r="K9" s="50"/>
      <c r="L9" s="50"/>
      <c r="M9" s="50"/>
      <c r="N9" s="50"/>
      <c r="O9" s="50"/>
      <c r="P9" s="50"/>
      <c r="Q9" s="50"/>
      <c r="R9" s="50"/>
      <c r="S9" s="50"/>
      <c r="T9" s="50"/>
      <c r="U9" s="50"/>
      <c r="V9" s="50"/>
      <c r="W9" s="50"/>
      <c r="X9" s="50"/>
      <c r="Y9" s="50"/>
      <c r="Z9" s="50"/>
    </row>
    <row r="10">
      <c r="A10" s="53" t="str">
        <f t="shared" si="1"/>
        <v>AO-02-TC-08</v>
      </c>
      <c r="B10" s="53" t="s">
        <v>1033</v>
      </c>
      <c r="C10" s="54" t="s">
        <v>1012</v>
      </c>
      <c r="D10" s="54" t="s">
        <v>1031</v>
      </c>
      <c r="E10" s="55" t="s">
        <v>1034</v>
      </c>
      <c r="F10" s="55" t="s">
        <v>50</v>
      </c>
      <c r="G10" s="55"/>
      <c r="H10" s="50"/>
      <c r="I10" s="50"/>
      <c r="J10" s="50"/>
      <c r="K10" s="50"/>
      <c r="L10" s="50"/>
      <c r="M10" s="50"/>
      <c r="N10" s="50"/>
      <c r="O10" s="50"/>
      <c r="P10" s="50"/>
      <c r="Q10" s="50"/>
      <c r="R10" s="50"/>
      <c r="S10" s="50"/>
      <c r="T10" s="50"/>
      <c r="U10" s="50"/>
      <c r="V10" s="50"/>
      <c r="W10" s="50"/>
      <c r="X10" s="50"/>
      <c r="Y10" s="50"/>
      <c r="Z10" s="50"/>
    </row>
    <row r="11">
      <c r="A11" s="53" t="str">
        <f t="shared" si="1"/>
        <v>AO-02-TC-09</v>
      </c>
      <c r="B11" s="53" t="s">
        <v>1035</v>
      </c>
      <c r="C11" s="54" t="s">
        <v>1012</v>
      </c>
      <c r="D11" s="54" t="s">
        <v>1036</v>
      </c>
      <c r="E11" s="55" t="s">
        <v>1037</v>
      </c>
      <c r="F11" s="55" t="s">
        <v>53</v>
      </c>
      <c r="G11" s="55"/>
      <c r="H11" s="50"/>
      <c r="I11" s="50"/>
      <c r="J11" s="50"/>
      <c r="K11" s="50"/>
      <c r="L11" s="50"/>
      <c r="M11" s="50"/>
      <c r="N11" s="50"/>
      <c r="O11" s="50"/>
      <c r="P11" s="50"/>
      <c r="Q11" s="50"/>
      <c r="R11" s="50"/>
      <c r="S11" s="50"/>
      <c r="T11" s="50"/>
      <c r="U11" s="50"/>
      <c r="V11" s="50"/>
      <c r="W11" s="50"/>
      <c r="X11" s="50"/>
      <c r="Y11" s="50"/>
      <c r="Z11" s="50"/>
    </row>
    <row r="12">
      <c r="A12" s="53" t="str">
        <f t="shared" si="1"/>
        <v>AO-02-TC-10</v>
      </c>
      <c r="B12" s="53" t="s">
        <v>1038</v>
      </c>
      <c r="C12" s="54" t="s">
        <v>1012</v>
      </c>
      <c r="D12" s="54" t="s">
        <v>1039</v>
      </c>
      <c r="E12" s="55" t="s">
        <v>1040</v>
      </c>
      <c r="F12" s="55" t="s">
        <v>53</v>
      </c>
      <c r="G12" s="55" t="s">
        <v>74</v>
      </c>
      <c r="H12" s="50"/>
      <c r="I12" s="50"/>
      <c r="J12" s="50"/>
      <c r="K12" s="50"/>
      <c r="L12" s="50"/>
      <c r="M12" s="50"/>
      <c r="N12" s="50"/>
      <c r="O12" s="50"/>
      <c r="P12" s="50"/>
      <c r="Q12" s="50"/>
      <c r="R12" s="50"/>
      <c r="S12" s="50"/>
      <c r="T12" s="50"/>
      <c r="U12" s="50"/>
      <c r="V12" s="50"/>
      <c r="W12" s="50"/>
      <c r="X12" s="50"/>
      <c r="Y12" s="50"/>
      <c r="Z12" s="50"/>
    </row>
    <row r="13">
      <c r="A13" s="53" t="str">
        <f t="shared" si="1"/>
        <v>AO-02-TC-11</v>
      </c>
      <c r="B13" s="53" t="s">
        <v>1041</v>
      </c>
      <c r="C13" s="54" t="s">
        <v>1012</v>
      </c>
      <c r="D13" s="54" t="s">
        <v>1042</v>
      </c>
      <c r="E13" s="55" t="s">
        <v>1043</v>
      </c>
      <c r="F13" s="55" t="s">
        <v>53</v>
      </c>
      <c r="G13" s="56"/>
      <c r="H13" s="50"/>
      <c r="I13" s="50"/>
      <c r="J13" s="50"/>
      <c r="K13" s="50"/>
      <c r="L13" s="50"/>
      <c r="M13" s="50"/>
      <c r="N13" s="50"/>
      <c r="O13" s="50"/>
      <c r="P13" s="50"/>
      <c r="Q13" s="50"/>
      <c r="R13" s="50"/>
      <c r="S13" s="50"/>
      <c r="T13" s="50"/>
      <c r="U13" s="50"/>
      <c r="V13" s="50"/>
      <c r="W13" s="50"/>
      <c r="X13" s="50"/>
      <c r="Y13" s="50"/>
      <c r="Z13" s="50"/>
    </row>
    <row r="14">
      <c r="A14" s="53" t="str">
        <f t="shared" si="1"/>
        <v>AO-02-TC-12</v>
      </c>
      <c r="B14" s="53" t="s">
        <v>1044</v>
      </c>
      <c r="C14" s="54" t="s">
        <v>1012</v>
      </c>
      <c r="D14" s="54" t="s">
        <v>1045</v>
      </c>
      <c r="E14" s="55" t="s">
        <v>1046</v>
      </c>
      <c r="F14" s="55" t="s">
        <v>53</v>
      </c>
      <c r="G14" s="56"/>
      <c r="H14" s="50"/>
      <c r="I14" s="50"/>
      <c r="J14" s="50"/>
      <c r="K14" s="50"/>
      <c r="L14" s="50"/>
      <c r="M14" s="50"/>
      <c r="N14" s="50"/>
      <c r="O14" s="50"/>
      <c r="P14" s="50"/>
      <c r="Q14" s="50"/>
      <c r="R14" s="50"/>
      <c r="S14" s="50"/>
      <c r="T14" s="50"/>
      <c r="U14" s="50"/>
      <c r="V14" s="50"/>
      <c r="W14" s="50"/>
      <c r="X14" s="50"/>
      <c r="Y14" s="50"/>
      <c r="Z14" s="50"/>
    </row>
    <row r="15">
      <c r="A15" s="53" t="str">
        <f t="shared" si="1"/>
        <v>AO-02-TC-13</v>
      </c>
      <c r="B15" s="53" t="s">
        <v>1047</v>
      </c>
      <c r="C15" s="54" t="s">
        <v>1012</v>
      </c>
      <c r="D15" s="54" t="s">
        <v>1048</v>
      </c>
      <c r="E15" s="55" t="s">
        <v>1049</v>
      </c>
      <c r="F15" s="55" t="s">
        <v>53</v>
      </c>
      <c r="G15" s="56"/>
      <c r="H15" s="50"/>
      <c r="I15" s="50"/>
      <c r="J15" s="50"/>
      <c r="K15" s="50"/>
      <c r="L15" s="50"/>
      <c r="M15" s="50"/>
      <c r="N15" s="50"/>
      <c r="O15" s="50"/>
      <c r="P15" s="50"/>
      <c r="Q15" s="50"/>
      <c r="R15" s="50"/>
      <c r="S15" s="50"/>
      <c r="T15" s="50"/>
      <c r="U15" s="50"/>
      <c r="V15" s="50"/>
      <c r="W15" s="50"/>
      <c r="X15" s="50"/>
      <c r="Y15" s="50"/>
      <c r="Z15" s="50"/>
    </row>
    <row r="16">
      <c r="A16" s="53" t="str">
        <f t="shared" si="1"/>
        <v>AO-02-TC-14</v>
      </c>
      <c r="B16" s="53" t="s">
        <v>1050</v>
      </c>
      <c r="C16" s="54" t="s">
        <v>1012</v>
      </c>
      <c r="D16" s="54" t="s">
        <v>1051</v>
      </c>
      <c r="E16" s="55" t="s">
        <v>1052</v>
      </c>
      <c r="F16" s="55" t="s">
        <v>53</v>
      </c>
      <c r="G16" s="56"/>
      <c r="H16" s="50"/>
      <c r="I16" s="50"/>
      <c r="J16" s="50"/>
      <c r="K16" s="50"/>
      <c r="L16" s="50"/>
      <c r="M16" s="50"/>
      <c r="N16" s="50"/>
      <c r="O16" s="50"/>
      <c r="P16" s="50"/>
      <c r="Q16" s="50"/>
      <c r="R16" s="50"/>
      <c r="S16" s="50"/>
      <c r="T16" s="50"/>
      <c r="U16" s="50"/>
      <c r="V16" s="50"/>
      <c r="W16" s="50"/>
      <c r="X16" s="50"/>
      <c r="Y16" s="50"/>
      <c r="Z16" s="50"/>
    </row>
    <row r="17">
      <c r="A17" s="53" t="str">
        <f t="shared" si="1"/>
        <v>AO-02-TC-15</v>
      </c>
      <c r="B17" s="53" t="s">
        <v>1053</v>
      </c>
      <c r="C17" s="54" t="s">
        <v>1012</v>
      </c>
      <c r="D17" s="54" t="s">
        <v>1054</v>
      </c>
      <c r="E17" s="55" t="s">
        <v>1055</v>
      </c>
      <c r="F17" s="55" t="s">
        <v>53</v>
      </c>
      <c r="G17" s="56"/>
      <c r="H17" s="50"/>
      <c r="I17" s="50"/>
      <c r="J17" s="50"/>
      <c r="K17" s="50"/>
      <c r="L17" s="50"/>
      <c r="M17" s="50"/>
      <c r="N17" s="50"/>
      <c r="O17" s="50"/>
      <c r="P17" s="50"/>
      <c r="Q17" s="50"/>
      <c r="R17" s="50"/>
      <c r="S17" s="50"/>
      <c r="T17" s="50"/>
      <c r="U17" s="50"/>
      <c r="V17" s="50"/>
      <c r="W17" s="50"/>
      <c r="X17" s="50"/>
      <c r="Y17" s="50"/>
      <c r="Z17" s="50"/>
    </row>
    <row r="18">
      <c r="A18" s="53" t="str">
        <f t="shared" si="1"/>
        <v>AO-02-TC-16</v>
      </c>
      <c r="B18" s="53" t="s">
        <v>1056</v>
      </c>
      <c r="C18" s="54" t="s">
        <v>1012</v>
      </c>
      <c r="D18" s="54" t="s">
        <v>1057</v>
      </c>
      <c r="E18" s="55" t="s">
        <v>1058</v>
      </c>
      <c r="F18" s="55" t="s">
        <v>53</v>
      </c>
      <c r="G18" s="56"/>
      <c r="H18" s="50"/>
      <c r="I18" s="50"/>
      <c r="J18" s="50"/>
      <c r="K18" s="50"/>
      <c r="L18" s="50"/>
      <c r="M18" s="50"/>
      <c r="N18" s="50"/>
      <c r="O18" s="50"/>
      <c r="P18" s="50"/>
      <c r="Q18" s="50"/>
      <c r="R18" s="50"/>
      <c r="S18" s="50"/>
      <c r="T18" s="50"/>
      <c r="U18" s="50"/>
      <c r="V18" s="50"/>
      <c r="W18" s="50"/>
      <c r="X18" s="50"/>
      <c r="Y18" s="50"/>
      <c r="Z18" s="50"/>
    </row>
    <row r="19">
      <c r="A19" s="53" t="str">
        <f t="shared" si="1"/>
        <v>AO-02-TC-17</v>
      </c>
      <c r="B19" s="53" t="s">
        <v>1059</v>
      </c>
      <c r="C19" s="54" t="s">
        <v>1012</v>
      </c>
      <c r="D19" s="54" t="s">
        <v>1060</v>
      </c>
      <c r="E19" s="55" t="s">
        <v>1061</v>
      </c>
      <c r="F19" s="55" t="s">
        <v>53</v>
      </c>
      <c r="G19" s="56"/>
      <c r="H19" s="50"/>
      <c r="I19" s="50"/>
      <c r="J19" s="50"/>
      <c r="K19" s="50"/>
      <c r="L19" s="50"/>
      <c r="M19" s="50"/>
      <c r="N19" s="50"/>
      <c r="O19" s="50"/>
      <c r="P19" s="50"/>
      <c r="Q19" s="50"/>
      <c r="R19" s="50"/>
      <c r="S19" s="50"/>
      <c r="T19" s="50"/>
      <c r="U19" s="50"/>
      <c r="V19" s="50"/>
      <c r="W19" s="50"/>
      <c r="X19" s="50"/>
      <c r="Y19" s="50"/>
      <c r="Z19" s="50"/>
    </row>
    <row r="20">
      <c r="A20" s="53" t="str">
        <f t="shared" si="1"/>
        <v>AO-02-TC-18</v>
      </c>
      <c r="B20" s="53" t="s">
        <v>1062</v>
      </c>
      <c r="C20" s="54" t="s">
        <v>1012</v>
      </c>
      <c r="D20" s="54" t="s">
        <v>1063</v>
      </c>
      <c r="E20" s="55"/>
      <c r="F20" s="55" t="s">
        <v>50</v>
      </c>
      <c r="G20" s="55" t="s">
        <v>88</v>
      </c>
      <c r="H20" s="50"/>
      <c r="I20" s="50"/>
      <c r="J20" s="50"/>
      <c r="K20" s="50"/>
      <c r="L20" s="50"/>
      <c r="M20" s="50"/>
      <c r="N20" s="50"/>
      <c r="O20" s="50"/>
      <c r="P20" s="50"/>
      <c r="Q20" s="50"/>
      <c r="R20" s="50"/>
      <c r="S20" s="50"/>
      <c r="T20" s="50"/>
      <c r="U20" s="50"/>
      <c r="V20" s="50"/>
      <c r="W20" s="50"/>
      <c r="X20" s="50"/>
      <c r="Y20" s="50"/>
      <c r="Z20" s="50"/>
    </row>
    <row r="21">
      <c r="A21" s="53" t="str">
        <f t="shared" si="1"/>
        <v>AO-02-TC-19</v>
      </c>
      <c r="B21" s="64" t="s">
        <v>1064</v>
      </c>
      <c r="C21" s="54" t="s">
        <v>1012</v>
      </c>
      <c r="D21" s="54" t="s">
        <v>1065</v>
      </c>
      <c r="E21" s="55" t="s">
        <v>1066</v>
      </c>
      <c r="F21" s="55" t="s">
        <v>50</v>
      </c>
      <c r="G21" s="55" t="s">
        <v>90</v>
      </c>
      <c r="H21" s="50"/>
      <c r="I21" s="50"/>
      <c r="J21" s="50"/>
      <c r="K21" s="50"/>
      <c r="L21" s="50"/>
      <c r="M21" s="50"/>
      <c r="N21" s="50"/>
      <c r="O21" s="50"/>
      <c r="P21" s="50"/>
      <c r="Q21" s="50"/>
      <c r="R21" s="50"/>
      <c r="S21" s="50"/>
      <c r="T21" s="50"/>
      <c r="U21" s="50"/>
      <c r="V21" s="50"/>
      <c r="W21" s="50"/>
      <c r="X21" s="50"/>
      <c r="Y21" s="50"/>
      <c r="Z21" s="50"/>
    </row>
    <row r="22">
      <c r="A22" s="53" t="str">
        <f t="shared" si="1"/>
        <v>AO-02-TC-20</v>
      </c>
      <c r="B22" s="53" t="s">
        <v>1067</v>
      </c>
      <c r="C22" s="54" t="s">
        <v>1012</v>
      </c>
      <c r="D22" s="54" t="s">
        <v>1068</v>
      </c>
      <c r="E22" s="55" t="s">
        <v>1069</v>
      </c>
      <c r="F22" s="55" t="s">
        <v>51</v>
      </c>
      <c r="G22" s="55" t="s">
        <v>92</v>
      </c>
      <c r="H22" s="50"/>
      <c r="I22" s="50"/>
      <c r="J22" s="50"/>
      <c r="K22" s="50"/>
      <c r="L22" s="50"/>
      <c r="M22" s="50"/>
      <c r="N22" s="50"/>
      <c r="O22" s="50"/>
      <c r="P22" s="50"/>
      <c r="Q22" s="50"/>
      <c r="R22" s="50"/>
      <c r="S22" s="50"/>
      <c r="T22" s="50"/>
      <c r="U22" s="50"/>
      <c r="V22" s="50"/>
      <c r="W22" s="50"/>
      <c r="X22" s="50"/>
      <c r="Y22" s="50"/>
      <c r="Z22" s="50"/>
    </row>
    <row r="23">
      <c r="A23" s="53" t="str">
        <f t="shared" si="1"/>
        <v>AO-02-TC-21</v>
      </c>
      <c r="B23" s="53" t="s">
        <v>1070</v>
      </c>
      <c r="C23" s="54" t="s">
        <v>1012</v>
      </c>
      <c r="D23" s="54" t="s">
        <v>1071</v>
      </c>
      <c r="E23" s="55" t="s">
        <v>1072</v>
      </c>
      <c r="F23" s="55" t="s">
        <v>53</v>
      </c>
      <c r="G23" s="56"/>
      <c r="H23" s="50"/>
      <c r="I23" s="50"/>
      <c r="J23" s="50"/>
      <c r="K23" s="50"/>
      <c r="L23" s="50"/>
      <c r="M23" s="50"/>
      <c r="N23" s="50"/>
      <c r="O23" s="50"/>
      <c r="P23" s="50"/>
      <c r="Q23" s="50"/>
      <c r="R23" s="50"/>
      <c r="S23" s="50"/>
      <c r="T23" s="50"/>
      <c r="U23" s="50"/>
      <c r="V23" s="50"/>
      <c r="W23" s="50"/>
      <c r="X23" s="50"/>
      <c r="Y23" s="50"/>
      <c r="Z23" s="50"/>
    </row>
    <row r="24">
      <c r="A24" s="53" t="str">
        <f t="shared" si="1"/>
        <v>AO-02-TC-22</v>
      </c>
      <c r="B24" s="53" t="s">
        <v>1073</v>
      </c>
      <c r="C24" s="54" t="s">
        <v>1012</v>
      </c>
      <c r="D24" s="54" t="s">
        <v>1074</v>
      </c>
      <c r="E24" s="55" t="s">
        <v>1075</v>
      </c>
      <c r="F24" s="55" t="s">
        <v>53</v>
      </c>
      <c r="G24" s="56"/>
      <c r="H24" s="50"/>
      <c r="I24" s="50"/>
      <c r="J24" s="50"/>
      <c r="K24" s="50"/>
      <c r="L24" s="50"/>
      <c r="M24" s="50"/>
      <c r="N24" s="50"/>
      <c r="O24" s="50"/>
      <c r="P24" s="50"/>
      <c r="Q24" s="50"/>
      <c r="R24" s="50"/>
      <c r="S24" s="50"/>
      <c r="T24" s="50"/>
      <c r="U24" s="50"/>
      <c r="V24" s="50"/>
      <c r="W24" s="50"/>
      <c r="X24" s="50"/>
      <c r="Y24" s="50"/>
      <c r="Z24" s="50"/>
    </row>
    <row r="25">
      <c r="A25" s="53" t="str">
        <f t="shared" si="1"/>
        <v>AO-02-TC-23</v>
      </c>
      <c r="B25" s="53" t="s">
        <v>1076</v>
      </c>
      <c r="C25" s="54" t="s">
        <v>1012</v>
      </c>
      <c r="D25" s="54" t="s">
        <v>1077</v>
      </c>
      <c r="E25" s="55" t="s">
        <v>1078</v>
      </c>
      <c r="F25" s="55" t="s">
        <v>53</v>
      </c>
      <c r="G25" s="56"/>
      <c r="H25" s="50"/>
      <c r="I25" s="50"/>
      <c r="J25" s="50"/>
      <c r="K25" s="50"/>
      <c r="L25" s="50"/>
      <c r="M25" s="50"/>
      <c r="N25" s="50"/>
      <c r="O25" s="50"/>
      <c r="P25" s="50"/>
      <c r="Q25" s="50"/>
      <c r="R25" s="50"/>
      <c r="S25" s="50"/>
      <c r="T25" s="50"/>
      <c r="U25" s="50"/>
      <c r="V25" s="50"/>
      <c r="W25" s="50"/>
      <c r="X25" s="50"/>
      <c r="Y25" s="50"/>
      <c r="Z25" s="50"/>
    </row>
    <row r="26">
      <c r="A26" s="53" t="str">
        <f t="shared" si="1"/>
        <v>AO-02-TC-24</v>
      </c>
      <c r="B26" s="53" t="s">
        <v>1079</v>
      </c>
      <c r="C26" s="54" t="s">
        <v>1012</v>
      </c>
      <c r="D26" s="54" t="s">
        <v>1080</v>
      </c>
      <c r="E26" s="55" t="s">
        <v>1081</v>
      </c>
      <c r="F26" s="55" t="s">
        <v>53</v>
      </c>
      <c r="G26" s="56"/>
      <c r="H26" s="50"/>
      <c r="I26" s="50"/>
      <c r="J26" s="50"/>
      <c r="K26" s="50"/>
      <c r="L26" s="50"/>
      <c r="M26" s="50"/>
      <c r="N26" s="50"/>
      <c r="O26" s="50"/>
      <c r="P26" s="50"/>
      <c r="Q26" s="50"/>
      <c r="R26" s="50"/>
      <c r="S26" s="50"/>
      <c r="T26" s="50"/>
      <c r="U26" s="50"/>
      <c r="V26" s="50"/>
      <c r="W26" s="50"/>
      <c r="X26" s="50"/>
      <c r="Y26" s="50"/>
      <c r="Z26" s="50"/>
    </row>
    <row r="27">
      <c r="A27" s="53" t="str">
        <f t="shared" si="1"/>
        <v>AO-02-TC-25</v>
      </c>
      <c r="B27" s="53" t="s">
        <v>1082</v>
      </c>
      <c r="C27" s="54" t="s">
        <v>1012</v>
      </c>
      <c r="D27" s="54" t="s">
        <v>1083</v>
      </c>
      <c r="E27" s="55" t="s">
        <v>1084</v>
      </c>
      <c r="F27" s="55" t="s">
        <v>51</v>
      </c>
      <c r="G27" s="55" t="s">
        <v>98</v>
      </c>
      <c r="H27" s="50"/>
      <c r="I27" s="50"/>
      <c r="J27" s="50"/>
      <c r="K27" s="50"/>
      <c r="L27" s="50"/>
      <c r="M27" s="50"/>
      <c r="N27" s="50"/>
      <c r="O27" s="50"/>
      <c r="P27" s="50"/>
      <c r="Q27" s="50"/>
      <c r="R27" s="50"/>
      <c r="S27" s="50"/>
      <c r="T27" s="50"/>
      <c r="U27" s="50"/>
      <c r="V27" s="50"/>
      <c r="W27" s="50"/>
      <c r="X27" s="50"/>
      <c r="Y27" s="50"/>
      <c r="Z27" s="50"/>
    </row>
    <row r="28">
      <c r="A28" s="53" t="str">
        <f t="shared" si="1"/>
        <v>AO-02-TC-26</v>
      </c>
      <c r="B28" s="53" t="s">
        <v>1085</v>
      </c>
      <c r="C28" s="54" t="s">
        <v>1012</v>
      </c>
      <c r="D28" s="54" t="s">
        <v>1086</v>
      </c>
      <c r="E28" s="55" t="s">
        <v>1087</v>
      </c>
      <c r="F28" s="55" t="s">
        <v>51</v>
      </c>
      <c r="G28" s="55" t="s">
        <v>100</v>
      </c>
      <c r="H28" s="50"/>
      <c r="I28" s="50"/>
      <c r="J28" s="50"/>
      <c r="K28" s="50"/>
      <c r="L28" s="50"/>
      <c r="M28" s="50"/>
      <c r="N28" s="50"/>
      <c r="O28" s="50"/>
      <c r="P28" s="50"/>
      <c r="Q28" s="50"/>
      <c r="R28" s="50"/>
      <c r="S28" s="50"/>
      <c r="T28" s="50"/>
      <c r="U28" s="50"/>
      <c r="V28" s="50"/>
      <c r="W28" s="50"/>
      <c r="X28" s="50"/>
      <c r="Y28" s="50"/>
      <c r="Z28" s="50"/>
    </row>
    <row r="29">
      <c r="A29" s="53" t="str">
        <f t="shared" si="1"/>
        <v>AO-02-TC-27</v>
      </c>
      <c r="B29" s="53" t="s">
        <v>1088</v>
      </c>
      <c r="C29" s="54" t="s">
        <v>1012</v>
      </c>
      <c r="D29" s="54" t="s">
        <v>1089</v>
      </c>
      <c r="E29" s="55" t="s">
        <v>1090</v>
      </c>
      <c r="F29" s="55" t="s">
        <v>53</v>
      </c>
      <c r="G29" s="56"/>
      <c r="H29" s="50"/>
      <c r="I29" s="50"/>
      <c r="J29" s="50"/>
      <c r="K29" s="50"/>
      <c r="L29" s="50"/>
      <c r="M29" s="50"/>
      <c r="N29" s="50"/>
      <c r="O29" s="50"/>
      <c r="P29" s="50"/>
      <c r="Q29" s="50"/>
      <c r="R29" s="50"/>
      <c r="S29" s="50"/>
      <c r="T29" s="50"/>
      <c r="U29" s="50"/>
      <c r="V29" s="50"/>
      <c r="W29" s="50"/>
      <c r="X29" s="50"/>
      <c r="Y29" s="50"/>
      <c r="Z29" s="50"/>
    </row>
    <row r="30">
      <c r="A30" s="53" t="str">
        <f t="shared" si="1"/>
        <v>AO-02-TC-28</v>
      </c>
      <c r="B30" s="142" t="s">
        <v>1091</v>
      </c>
      <c r="C30" s="54" t="s">
        <v>1012</v>
      </c>
      <c r="D30" s="62" t="s">
        <v>1092</v>
      </c>
      <c r="E30" s="55" t="s">
        <v>1093</v>
      </c>
      <c r="F30" s="55" t="s">
        <v>53</v>
      </c>
      <c r="G30" s="144"/>
      <c r="H30" s="50"/>
      <c r="I30" s="50"/>
      <c r="J30" s="50"/>
      <c r="K30" s="50"/>
      <c r="L30" s="50"/>
      <c r="M30" s="50"/>
      <c r="N30" s="50"/>
      <c r="O30" s="50"/>
      <c r="P30" s="50"/>
      <c r="Q30" s="50"/>
      <c r="R30" s="50"/>
      <c r="S30" s="50"/>
      <c r="T30" s="50"/>
      <c r="U30" s="50"/>
      <c r="V30" s="50"/>
      <c r="W30" s="50"/>
      <c r="X30" s="50"/>
      <c r="Y30" s="50"/>
      <c r="Z30" s="50"/>
    </row>
    <row r="31">
      <c r="A31" s="53" t="str">
        <f t="shared" ref="A31:A32" si="2">IF(B30&lt;&gt;"", "AO-02-TC-" &amp; TEXT(COUNTA($B$3:B31), "00"), "")
</f>
        <v>AO-02-TC-29</v>
      </c>
      <c r="B31" s="53" t="s">
        <v>1094</v>
      </c>
      <c r="C31" s="54" t="s">
        <v>1012</v>
      </c>
      <c r="D31" s="62" t="s">
        <v>1095</v>
      </c>
      <c r="E31" s="55" t="s">
        <v>1096</v>
      </c>
      <c r="F31" s="55" t="s">
        <v>53</v>
      </c>
      <c r="G31" s="56"/>
      <c r="H31" s="50"/>
      <c r="I31" s="50"/>
      <c r="J31" s="50"/>
      <c r="K31" s="50"/>
      <c r="L31" s="50"/>
      <c r="M31" s="50"/>
      <c r="N31" s="50"/>
      <c r="O31" s="50"/>
      <c r="P31" s="50"/>
      <c r="Q31" s="50"/>
      <c r="R31" s="50"/>
      <c r="S31" s="50"/>
      <c r="T31" s="50"/>
      <c r="U31" s="50"/>
      <c r="V31" s="50"/>
      <c r="W31" s="50"/>
      <c r="X31" s="50"/>
      <c r="Y31" s="50"/>
      <c r="Z31" s="50"/>
    </row>
    <row r="32">
      <c r="A32" s="53" t="str">
        <f t="shared" si="2"/>
        <v>AO-02-TC-30</v>
      </c>
      <c r="B32" s="53" t="s">
        <v>1097</v>
      </c>
      <c r="C32" s="54" t="s">
        <v>1012</v>
      </c>
      <c r="D32" s="62" t="s">
        <v>1098</v>
      </c>
      <c r="E32" s="55" t="s">
        <v>1099</v>
      </c>
      <c r="F32" s="55" t="s">
        <v>53</v>
      </c>
      <c r="G32" s="56"/>
      <c r="H32" s="50"/>
      <c r="I32" s="50"/>
      <c r="J32" s="50"/>
      <c r="K32" s="50"/>
      <c r="L32" s="50"/>
      <c r="M32" s="50"/>
      <c r="N32" s="50"/>
      <c r="O32" s="50"/>
      <c r="P32" s="50"/>
      <c r="Q32" s="50"/>
      <c r="R32" s="50"/>
      <c r="S32" s="50"/>
      <c r="T32" s="50"/>
      <c r="U32" s="50"/>
      <c r="V32" s="50"/>
      <c r="W32" s="50"/>
      <c r="X32" s="50"/>
      <c r="Y32" s="50"/>
      <c r="Z32" s="50"/>
    </row>
    <row r="33" ht="118.5" customHeight="1">
      <c r="A33" s="53" t="str">
        <f t="shared" ref="A33:A173" si="3">IF(B31&lt;&gt;"", "AO-02-TC-" &amp; TEXT(COUNTA($B$3:B33), "00"), "")
</f>
        <v>AO-02-TC-31</v>
      </c>
      <c r="B33" s="53" t="s">
        <v>1100</v>
      </c>
      <c r="C33" s="54" t="s">
        <v>1012</v>
      </c>
      <c r="D33" s="62" t="s">
        <v>1101</v>
      </c>
      <c r="E33" s="55" t="s">
        <v>1102</v>
      </c>
      <c r="F33" s="55" t="s">
        <v>53</v>
      </c>
      <c r="G33" s="56"/>
      <c r="H33" s="50"/>
      <c r="I33" s="50"/>
      <c r="J33" s="50"/>
      <c r="K33" s="50"/>
      <c r="L33" s="50"/>
      <c r="M33" s="50"/>
      <c r="N33" s="50"/>
      <c r="O33" s="50"/>
      <c r="P33" s="50"/>
      <c r="Q33" s="50"/>
      <c r="R33" s="50"/>
      <c r="S33" s="50"/>
      <c r="T33" s="50"/>
      <c r="U33" s="50"/>
      <c r="V33" s="50"/>
      <c r="W33" s="50"/>
      <c r="X33" s="50"/>
      <c r="Y33" s="50"/>
      <c r="Z33" s="50"/>
    </row>
    <row r="34">
      <c r="A34" s="53" t="str">
        <f t="shared" si="3"/>
        <v>AO-02-TC-32</v>
      </c>
      <c r="B34" s="53" t="s">
        <v>1103</v>
      </c>
      <c r="C34" s="54" t="s">
        <v>1012</v>
      </c>
      <c r="D34" s="62" t="s">
        <v>1104</v>
      </c>
      <c r="E34" s="55" t="s">
        <v>1105</v>
      </c>
      <c r="F34" s="55" t="s">
        <v>53</v>
      </c>
      <c r="G34" s="56"/>
      <c r="H34" s="50"/>
      <c r="I34" s="50"/>
      <c r="J34" s="50"/>
      <c r="K34" s="50"/>
      <c r="L34" s="50"/>
      <c r="M34" s="50"/>
      <c r="N34" s="50"/>
      <c r="O34" s="50"/>
      <c r="P34" s="50"/>
      <c r="Q34" s="50"/>
      <c r="R34" s="50"/>
      <c r="S34" s="50"/>
      <c r="T34" s="50"/>
      <c r="U34" s="50"/>
      <c r="V34" s="50"/>
      <c r="W34" s="50"/>
      <c r="X34" s="50"/>
      <c r="Y34" s="50"/>
      <c r="Z34" s="50"/>
    </row>
    <row r="35">
      <c r="A35" s="53" t="str">
        <f t="shared" si="3"/>
        <v>AO-02-TC-33</v>
      </c>
      <c r="B35" s="53" t="s">
        <v>1106</v>
      </c>
      <c r="C35" s="54" t="s">
        <v>1012</v>
      </c>
      <c r="D35" s="62" t="s">
        <v>1107</v>
      </c>
      <c r="E35" s="55" t="s">
        <v>1108</v>
      </c>
      <c r="F35" s="55" t="s">
        <v>53</v>
      </c>
      <c r="G35" s="56"/>
      <c r="H35" s="50"/>
      <c r="I35" s="50"/>
      <c r="J35" s="50"/>
      <c r="K35" s="50"/>
      <c r="L35" s="50"/>
      <c r="M35" s="50"/>
      <c r="N35" s="50"/>
      <c r="O35" s="50"/>
      <c r="P35" s="50"/>
      <c r="Q35" s="50"/>
      <c r="R35" s="50"/>
      <c r="S35" s="50"/>
      <c r="T35" s="50"/>
      <c r="U35" s="50"/>
      <c r="V35" s="50"/>
      <c r="W35" s="50"/>
      <c r="X35" s="50"/>
      <c r="Y35" s="50"/>
      <c r="Z35" s="50"/>
    </row>
    <row r="36">
      <c r="A36" s="53" t="str">
        <f t="shared" si="3"/>
        <v>AO-02-TC-34</v>
      </c>
      <c r="B36" s="53" t="s">
        <v>1109</v>
      </c>
      <c r="C36" s="54" t="s">
        <v>1012</v>
      </c>
      <c r="D36" s="62" t="s">
        <v>1110</v>
      </c>
      <c r="E36" s="55" t="s">
        <v>1111</v>
      </c>
      <c r="F36" s="55" t="s">
        <v>53</v>
      </c>
      <c r="G36" s="56"/>
      <c r="H36" s="50"/>
      <c r="I36" s="50"/>
      <c r="J36" s="50"/>
      <c r="K36" s="50"/>
      <c r="L36" s="50"/>
      <c r="M36" s="50"/>
      <c r="N36" s="50"/>
      <c r="O36" s="50"/>
      <c r="P36" s="50"/>
      <c r="Q36" s="50"/>
      <c r="R36" s="50"/>
      <c r="S36" s="50"/>
      <c r="T36" s="50"/>
      <c r="U36" s="50"/>
      <c r="V36" s="50"/>
      <c r="W36" s="50"/>
      <c r="X36" s="50"/>
      <c r="Y36" s="50"/>
      <c r="Z36" s="50"/>
    </row>
    <row r="37">
      <c r="A37" s="53" t="str">
        <f t="shared" si="3"/>
        <v>AO-02-TC-35</v>
      </c>
      <c r="B37" s="53" t="s">
        <v>1112</v>
      </c>
      <c r="C37" s="54" t="s">
        <v>1012</v>
      </c>
      <c r="D37" s="62" t="s">
        <v>1113</v>
      </c>
      <c r="E37" s="55" t="s">
        <v>1114</v>
      </c>
      <c r="F37" s="55" t="s">
        <v>53</v>
      </c>
      <c r="G37" s="56"/>
      <c r="H37" s="50"/>
      <c r="I37" s="50"/>
      <c r="J37" s="50"/>
      <c r="K37" s="50"/>
      <c r="L37" s="50"/>
      <c r="M37" s="50"/>
      <c r="N37" s="50"/>
      <c r="O37" s="50"/>
      <c r="P37" s="50"/>
      <c r="Q37" s="50"/>
      <c r="R37" s="50"/>
      <c r="S37" s="50"/>
      <c r="T37" s="50"/>
      <c r="U37" s="50"/>
      <c r="V37" s="50"/>
      <c r="W37" s="50"/>
      <c r="X37" s="50"/>
      <c r="Y37" s="50"/>
      <c r="Z37" s="50"/>
    </row>
    <row r="38">
      <c r="A38" s="53" t="str">
        <f t="shared" si="3"/>
        <v>AO-02-TC-36</v>
      </c>
      <c r="B38" s="53" t="s">
        <v>1115</v>
      </c>
      <c r="C38" s="54" t="s">
        <v>1012</v>
      </c>
      <c r="D38" s="62" t="s">
        <v>1116</v>
      </c>
      <c r="E38" s="55" t="s">
        <v>1117</v>
      </c>
      <c r="F38" s="55" t="s">
        <v>53</v>
      </c>
      <c r="G38" s="56"/>
    </row>
    <row r="39">
      <c r="A39" s="53" t="str">
        <f t="shared" si="3"/>
        <v>AO-02-TC-37</v>
      </c>
      <c r="B39" s="53" t="s">
        <v>1118</v>
      </c>
      <c r="C39" s="54" t="s">
        <v>1012</v>
      </c>
      <c r="D39" s="62" t="s">
        <v>1119</v>
      </c>
      <c r="E39" s="55" t="s">
        <v>1120</v>
      </c>
      <c r="F39" s="55" t="s">
        <v>53</v>
      </c>
      <c r="G39" s="56"/>
    </row>
    <row r="40">
      <c r="A40" s="53" t="str">
        <f t="shared" si="3"/>
        <v>AO-02-TC-38</v>
      </c>
      <c r="B40" s="53" t="s">
        <v>1121</v>
      </c>
      <c r="C40" s="54" t="s">
        <v>1012</v>
      </c>
      <c r="D40" s="62" t="s">
        <v>1122</v>
      </c>
      <c r="E40" s="55" t="s">
        <v>1123</v>
      </c>
      <c r="F40" s="55" t="s">
        <v>53</v>
      </c>
      <c r="G40" s="56"/>
    </row>
    <row r="41">
      <c r="A41" s="53" t="str">
        <f t="shared" si="3"/>
        <v>AO-02-TC-39</v>
      </c>
      <c r="B41" s="53" t="s">
        <v>1124</v>
      </c>
      <c r="C41" s="54" t="s">
        <v>1012</v>
      </c>
      <c r="D41" s="62" t="s">
        <v>1125</v>
      </c>
      <c r="E41" s="55" t="s">
        <v>1126</v>
      </c>
      <c r="F41" s="55" t="s">
        <v>53</v>
      </c>
      <c r="G41" s="56"/>
    </row>
    <row r="42">
      <c r="A42" s="53" t="str">
        <f t="shared" si="3"/>
        <v>AO-02-TC-40</v>
      </c>
      <c r="B42" s="53" t="s">
        <v>1127</v>
      </c>
      <c r="C42" s="54" t="s">
        <v>1012</v>
      </c>
      <c r="D42" s="62" t="s">
        <v>1128</v>
      </c>
      <c r="E42" s="55" t="s">
        <v>1129</v>
      </c>
      <c r="F42" s="55" t="s">
        <v>53</v>
      </c>
      <c r="G42" s="56"/>
    </row>
    <row r="43">
      <c r="A43" s="53" t="str">
        <f t="shared" si="3"/>
        <v>AO-02-TC-41</v>
      </c>
      <c r="B43" s="53" t="s">
        <v>1130</v>
      </c>
      <c r="C43" s="54" t="s">
        <v>1012</v>
      </c>
      <c r="D43" s="62" t="s">
        <v>1131</v>
      </c>
      <c r="E43" s="55" t="s">
        <v>1132</v>
      </c>
      <c r="F43" s="55" t="s">
        <v>53</v>
      </c>
      <c r="G43" s="56"/>
    </row>
    <row r="44">
      <c r="A44" s="53" t="str">
        <f t="shared" si="3"/>
        <v>AO-02-TC-42</v>
      </c>
      <c r="B44" s="53" t="s">
        <v>1133</v>
      </c>
      <c r="C44" s="54" t="s">
        <v>1012</v>
      </c>
      <c r="D44" s="62" t="s">
        <v>1134</v>
      </c>
      <c r="E44" s="55" t="s">
        <v>1135</v>
      </c>
      <c r="F44" s="55" t="s">
        <v>53</v>
      </c>
      <c r="G44" s="56"/>
    </row>
    <row r="45">
      <c r="A45" s="53" t="str">
        <f t="shared" si="3"/>
        <v>AO-02-TC-43</v>
      </c>
      <c r="B45" s="64" t="s">
        <v>1136</v>
      </c>
      <c r="C45" s="54" t="s">
        <v>1012</v>
      </c>
      <c r="D45" s="62" t="s">
        <v>1137</v>
      </c>
      <c r="E45" s="55" t="s">
        <v>1138</v>
      </c>
      <c r="F45" s="55" t="s">
        <v>53</v>
      </c>
      <c r="G45" s="56"/>
    </row>
    <row r="46">
      <c r="A46" s="53" t="str">
        <f t="shared" si="3"/>
        <v>AO-02-TC-44</v>
      </c>
      <c r="B46" s="53" t="s">
        <v>1139</v>
      </c>
      <c r="C46" s="54" t="s">
        <v>1012</v>
      </c>
      <c r="D46" s="62" t="s">
        <v>1140</v>
      </c>
      <c r="E46" s="55" t="s">
        <v>1141</v>
      </c>
      <c r="F46" s="55" t="s">
        <v>53</v>
      </c>
      <c r="G46" s="56"/>
    </row>
    <row r="47">
      <c r="A47" s="53" t="str">
        <f t="shared" si="3"/>
        <v>AO-02-TC-45</v>
      </c>
      <c r="B47" s="64" t="s">
        <v>1142</v>
      </c>
      <c r="C47" s="54" t="s">
        <v>1012</v>
      </c>
      <c r="D47" s="62" t="s">
        <v>1143</v>
      </c>
      <c r="E47" s="55" t="s">
        <v>1144</v>
      </c>
      <c r="F47" s="55" t="s">
        <v>53</v>
      </c>
      <c r="G47" s="56"/>
    </row>
    <row r="48">
      <c r="A48" s="53" t="str">
        <f t="shared" si="3"/>
        <v>AO-02-TC-46</v>
      </c>
      <c r="B48" s="53" t="s">
        <v>1145</v>
      </c>
      <c r="C48" s="54" t="s">
        <v>1012</v>
      </c>
      <c r="D48" s="62" t="s">
        <v>1146</v>
      </c>
      <c r="E48" s="55" t="s">
        <v>1147</v>
      </c>
      <c r="F48" s="55" t="s">
        <v>53</v>
      </c>
      <c r="G48" s="56"/>
    </row>
    <row r="49">
      <c r="A49" s="53" t="str">
        <f t="shared" si="3"/>
        <v>AO-02-TC-47</v>
      </c>
      <c r="B49" s="53" t="s">
        <v>1148</v>
      </c>
      <c r="C49" s="54" t="s">
        <v>1012</v>
      </c>
      <c r="D49" s="62" t="s">
        <v>1149</v>
      </c>
      <c r="E49" s="55" t="s">
        <v>1150</v>
      </c>
      <c r="F49" s="55" t="s">
        <v>53</v>
      </c>
      <c r="G49" s="56"/>
    </row>
    <row r="50">
      <c r="A50" s="53" t="str">
        <f t="shared" si="3"/>
        <v>AO-02-TC-48</v>
      </c>
      <c r="B50" s="53" t="s">
        <v>1151</v>
      </c>
      <c r="C50" s="54" t="s">
        <v>1012</v>
      </c>
      <c r="D50" s="62" t="s">
        <v>1152</v>
      </c>
      <c r="E50" s="55" t="s">
        <v>1153</v>
      </c>
      <c r="F50" s="55" t="s">
        <v>53</v>
      </c>
      <c r="G50" s="56"/>
    </row>
    <row r="51">
      <c r="A51" s="53" t="str">
        <f t="shared" si="3"/>
        <v>AO-02-TC-49</v>
      </c>
      <c r="B51" s="53" t="s">
        <v>1154</v>
      </c>
      <c r="C51" s="54" t="s">
        <v>1012</v>
      </c>
      <c r="D51" s="62" t="s">
        <v>1155</v>
      </c>
      <c r="E51" s="55" t="s">
        <v>1156</v>
      </c>
      <c r="F51" s="55" t="s">
        <v>53</v>
      </c>
      <c r="G51" s="56"/>
    </row>
    <row r="52">
      <c r="A52" s="53" t="str">
        <f t="shared" si="3"/>
        <v>AO-02-TC-50</v>
      </c>
      <c r="B52" s="53" t="s">
        <v>1157</v>
      </c>
      <c r="C52" s="54" t="s">
        <v>1012</v>
      </c>
      <c r="D52" s="62" t="s">
        <v>1158</v>
      </c>
      <c r="E52" s="55" t="s">
        <v>1159</v>
      </c>
      <c r="F52" s="55" t="s">
        <v>50</v>
      </c>
      <c r="G52" s="56"/>
    </row>
    <row r="53">
      <c r="A53" s="53" t="str">
        <f t="shared" si="3"/>
        <v>AO-02-TC-51</v>
      </c>
      <c r="B53" s="53" t="s">
        <v>1160</v>
      </c>
      <c r="C53" s="54" t="s">
        <v>1012</v>
      </c>
      <c r="D53" s="62" t="s">
        <v>1161</v>
      </c>
      <c r="E53" s="55" t="s">
        <v>1162</v>
      </c>
      <c r="F53" s="55" t="s">
        <v>50</v>
      </c>
      <c r="G53" s="56"/>
    </row>
    <row r="54" ht="103.5" customHeight="1">
      <c r="A54" s="53" t="str">
        <f t="shared" si="3"/>
        <v>AO-02-TC-52</v>
      </c>
      <c r="B54" s="53" t="s">
        <v>1163</v>
      </c>
      <c r="C54" s="54" t="s">
        <v>1012</v>
      </c>
      <c r="D54" s="62" t="s">
        <v>1164</v>
      </c>
      <c r="E54" s="55" t="s">
        <v>1165</v>
      </c>
      <c r="F54" s="55" t="s">
        <v>50</v>
      </c>
      <c r="G54" s="56"/>
    </row>
    <row r="55">
      <c r="A55" s="53" t="str">
        <f t="shared" si="3"/>
        <v>AO-02-TC-53</v>
      </c>
      <c r="B55" s="53" t="s">
        <v>1166</v>
      </c>
      <c r="C55" s="54" t="s">
        <v>1012</v>
      </c>
      <c r="D55" s="62" t="s">
        <v>1167</v>
      </c>
      <c r="E55" s="55" t="s">
        <v>1168</v>
      </c>
      <c r="F55" s="55" t="s">
        <v>50</v>
      </c>
      <c r="G55" s="56"/>
    </row>
    <row r="56">
      <c r="A56" s="53" t="str">
        <f t="shared" si="3"/>
        <v>AO-02-TC-54</v>
      </c>
      <c r="B56" s="53" t="s">
        <v>1169</v>
      </c>
      <c r="C56" s="54" t="s">
        <v>1012</v>
      </c>
      <c r="D56" s="62" t="s">
        <v>1170</v>
      </c>
      <c r="E56" s="55" t="s">
        <v>1171</v>
      </c>
      <c r="F56" s="55" t="s">
        <v>50</v>
      </c>
      <c r="G56" s="56"/>
    </row>
    <row r="57">
      <c r="A57" s="53" t="str">
        <f t="shared" si="3"/>
        <v>AO-02-TC-55</v>
      </c>
      <c r="B57" s="53" t="s">
        <v>1172</v>
      </c>
      <c r="C57" s="54" t="s">
        <v>1012</v>
      </c>
      <c r="D57" s="62" t="s">
        <v>1173</v>
      </c>
      <c r="E57" s="55" t="s">
        <v>1174</v>
      </c>
      <c r="F57" s="55" t="s">
        <v>50</v>
      </c>
      <c r="G57" s="56"/>
    </row>
    <row r="58">
      <c r="A58" s="53" t="str">
        <f t="shared" si="3"/>
        <v>AO-02-TC-56</v>
      </c>
      <c r="B58" s="64" t="s">
        <v>1175</v>
      </c>
      <c r="C58" s="54" t="s">
        <v>1012</v>
      </c>
      <c r="D58" s="62" t="s">
        <v>1176</v>
      </c>
      <c r="E58" s="55" t="s">
        <v>1177</v>
      </c>
      <c r="F58" s="55" t="s">
        <v>50</v>
      </c>
      <c r="G58" s="56"/>
    </row>
    <row r="59">
      <c r="A59" s="53" t="str">
        <f t="shared" si="3"/>
        <v>AO-02-TC-57</v>
      </c>
      <c r="B59" s="53" t="s">
        <v>1178</v>
      </c>
      <c r="C59" s="54" t="s">
        <v>1012</v>
      </c>
      <c r="D59" s="62" t="s">
        <v>1179</v>
      </c>
      <c r="E59" s="55" t="s">
        <v>1180</v>
      </c>
      <c r="F59" s="55" t="s">
        <v>50</v>
      </c>
      <c r="G59" s="56"/>
    </row>
    <row r="60">
      <c r="A60" s="53" t="str">
        <f t="shared" si="3"/>
        <v>AO-02-TC-58</v>
      </c>
      <c r="B60" s="53" t="s">
        <v>1181</v>
      </c>
      <c r="C60" s="54" t="s">
        <v>1012</v>
      </c>
      <c r="D60" s="62" t="s">
        <v>1182</v>
      </c>
      <c r="E60" s="55" t="s">
        <v>1183</v>
      </c>
      <c r="F60" s="55" t="s">
        <v>50</v>
      </c>
      <c r="G60" s="56"/>
    </row>
    <row r="61">
      <c r="A61" s="53" t="str">
        <f t="shared" si="3"/>
        <v>AO-02-TC-59</v>
      </c>
      <c r="B61" s="53" t="s">
        <v>1184</v>
      </c>
      <c r="C61" s="54" t="s">
        <v>1012</v>
      </c>
      <c r="D61" s="62" t="s">
        <v>1185</v>
      </c>
      <c r="E61" s="55" t="s">
        <v>1186</v>
      </c>
      <c r="F61" s="55" t="s">
        <v>50</v>
      </c>
      <c r="G61" s="56"/>
    </row>
    <row r="62">
      <c r="A62" s="53" t="str">
        <f t="shared" si="3"/>
        <v>AO-02-TC-60</v>
      </c>
      <c r="B62" s="53" t="s">
        <v>1187</v>
      </c>
      <c r="C62" s="54" t="s">
        <v>1012</v>
      </c>
      <c r="D62" s="62" t="s">
        <v>1188</v>
      </c>
      <c r="E62" s="55" t="s">
        <v>1189</v>
      </c>
      <c r="F62" s="55" t="s">
        <v>50</v>
      </c>
      <c r="G62" s="56"/>
    </row>
    <row r="63">
      <c r="A63" s="53" t="str">
        <f t="shared" si="3"/>
        <v>AO-02-TC-61</v>
      </c>
      <c r="B63" s="53" t="s">
        <v>1190</v>
      </c>
      <c r="C63" s="54" t="s">
        <v>1012</v>
      </c>
      <c r="D63" s="62" t="s">
        <v>1191</v>
      </c>
      <c r="E63" s="55" t="s">
        <v>1192</v>
      </c>
      <c r="F63" s="55" t="s">
        <v>50</v>
      </c>
      <c r="G63" s="56"/>
    </row>
    <row r="64">
      <c r="A64" s="53" t="str">
        <f t="shared" si="3"/>
        <v>AO-02-TC-62</v>
      </c>
      <c r="B64" s="53" t="s">
        <v>1193</v>
      </c>
      <c r="C64" s="54" t="s">
        <v>1012</v>
      </c>
      <c r="D64" s="62" t="s">
        <v>1194</v>
      </c>
      <c r="E64" s="55" t="s">
        <v>1195</v>
      </c>
      <c r="F64" s="55" t="s">
        <v>50</v>
      </c>
      <c r="G64" s="56"/>
    </row>
    <row r="65">
      <c r="A65" s="53" t="str">
        <f t="shared" si="3"/>
        <v>AO-02-TC-63</v>
      </c>
      <c r="B65" s="53" t="s">
        <v>1196</v>
      </c>
      <c r="C65" s="54" t="s">
        <v>1012</v>
      </c>
      <c r="D65" s="62" t="s">
        <v>1197</v>
      </c>
      <c r="E65" s="55" t="s">
        <v>1198</v>
      </c>
      <c r="F65" s="55" t="s">
        <v>50</v>
      </c>
      <c r="G65" s="56"/>
    </row>
    <row r="66">
      <c r="A66" s="53" t="str">
        <f t="shared" si="3"/>
        <v>AO-02-TC-64</v>
      </c>
      <c r="B66" s="53" t="s">
        <v>1199</v>
      </c>
      <c r="C66" s="54" t="s">
        <v>1012</v>
      </c>
      <c r="D66" s="62" t="s">
        <v>1200</v>
      </c>
      <c r="E66" s="55" t="s">
        <v>1201</v>
      </c>
      <c r="F66" s="55" t="s">
        <v>50</v>
      </c>
      <c r="G66" s="56"/>
    </row>
    <row r="67">
      <c r="A67" s="53" t="str">
        <f t="shared" si="3"/>
        <v>AO-02-TC-65</v>
      </c>
      <c r="B67" s="53" t="s">
        <v>1202</v>
      </c>
      <c r="C67" s="54" t="s">
        <v>1012</v>
      </c>
      <c r="D67" s="62" t="s">
        <v>1203</v>
      </c>
      <c r="E67" s="55" t="s">
        <v>1204</v>
      </c>
      <c r="F67" s="55" t="s">
        <v>50</v>
      </c>
      <c r="G67" s="56"/>
    </row>
    <row r="68">
      <c r="A68" s="53" t="str">
        <f t="shared" si="3"/>
        <v>AO-02-TC-66</v>
      </c>
      <c r="B68" s="53" t="s">
        <v>419</v>
      </c>
      <c r="C68" s="54" t="s">
        <v>1012</v>
      </c>
      <c r="D68" s="62" t="s">
        <v>1205</v>
      </c>
      <c r="E68" s="55" t="s">
        <v>1206</v>
      </c>
      <c r="F68" s="55" t="s">
        <v>50</v>
      </c>
      <c r="G68" s="56"/>
    </row>
    <row r="69">
      <c r="A69" s="53" t="str">
        <f t="shared" si="3"/>
        <v>AO-02-TC-67</v>
      </c>
      <c r="B69" s="53" t="s">
        <v>1207</v>
      </c>
      <c r="C69" s="54" t="s">
        <v>1012</v>
      </c>
      <c r="D69" s="142" t="s">
        <v>1208</v>
      </c>
      <c r="E69" s="53" t="s">
        <v>1209</v>
      </c>
      <c r="F69" s="53" t="s">
        <v>50</v>
      </c>
      <c r="G69" s="118"/>
    </row>
    <row r="70">
      <c r="A70" s="53" t="str">
        <f t="shared" si="3"/>
        <v>AO-02-TC-68</v>
      </c>
      <c r="B70" s="53" t="s">
        <v>1210</v>
      </c>
      <c r="C70" s="54" t="s">
        <v>1012</v>
      </c>
      <c r="D70" s="142" t="s">
        <v>1211</v>
      </c>
      <c r="E70" s="53" t="s">
        <v>1212</v>
      </c>
      <c r="F70" s="55" t="s">
        <v>50</v>
      </c>
      <c r="G70" s="118"/>
    </row>
    <row r="71">
      <c r="A71" s="53" t="str">
        <f t="shared" si="3"/>
        <v>AO-02-TC-69</v>
      </c>
      <c r="B71" s="53" t="s">
        <v>1213</v>
      </c>
      <c r="C71" s="54" t="s">
        <v>1012</v>
      </c>
      <c r="D71" s="142" t="s">
        <v>1214</v>
      </c>
      <c r="E71" s="53" t="s">
        <v>1215</v>
      </c>
      <c r="F71" s="55" t="s">
        <v>50</v>
      </c>
      <c r="G71" s="118"/>
    </row>
    <row r="72">
      <c r="A72" s="53" t="str">
        <f t="shared" si="3"/>
        <v>AO-02-TC-70</v>
      </c>
      <c r="B72" s="64" t="s">
        <v>1216</v>
      </c>
      <c r="C72" s="54" t="s">
        <v>1012</v>
      </c>
      <c r="D72" s="64" t="s">
        <v>1217</v>
      </c>
      <c r="E72" s="147" t="s">
        <v>1218</v>
      </c>
      <c r="F72" s="55" t="s">
        <v>50</v>
      </c>
      <c r="G72" s="148"/>
    </row>
    <row r="73">
      <c r="A73" s="53" t="str">
        <f t="shared" si="3"/>
        <v>AO-02-TC-71</v>
      </c>
      <c r="B73" s="64" t="s">
        <v>1219</v>
      </c>
      <c r="C73" s="54" t="s">
        <v>1012</v>
      </c>
      <c r="D73" s="64" t="s">
        <v>1220</v>
      </c>
      <c r="E73" s="147" t="s">
        <v>1221</v>
      </c>
      <c r="F73" s="55" t="s">
        <v>50</v>
      </c>
      <c r="G73" s="148"/>
    </row>
    <row r="74">
      <c r="A74" s="53" t="str">
        <f t="shared" si="3"/>
        <v>AO-02-TC-72</v>
      </c>
      <c r="B74" s="64" t="s">
        <v>1222</v>
      </c>
      <c r="C74" s="54" t="s">
        <v>1012</v>
      </c>
      <c r="D74" s="64" t="s">
        <v>1223</v>
      </c>
      <c r="E74" s="147" t="s">
        <v>1224</v>
      </c>
      <c r="F74" s="55" t="s">
        <v>50</v>
      </c>
      <c r="G74" s="148"/>
    </row>
    <row r="75">
      <c r="A75" s="53" t="str">
        <f t="shared" si="3"/>
        <v>AO-02-TC-73</v>
      </c>
      <c r="B75" s="64" t="s">
        <v>1225</v>
      </c>
      <c r="C75" s="54" t="s">
        <v>1012</v>
      </c>
      <c r="D75" s="147" t="s">
        <v>1226</v>
      </c>
      <c r="E75" s="147" t="s">
        <v>1227</v>
      </c>
      <c r="F75" s="55" t="s">
        <v>50</v>
      </c>
      <c r="G75" s="148"/>
    </row>
    <row r="76">
      <c r="A76" s="53" t="str">
        <f t="shared" si="3"/>
        <v>AO-02-TC-74</v>
      </c>
      <c r="B76" s="64" t="s">
        <v>1228</v>
      </c>
      <c r="C76" s="54" t="s">
        <v>1012</v>
      </c>
      <c r="D76" s="147" t="s">
        <v>1229</v>
      </c>
      <c r="E76" s="147" t="s">
        <v>1230</v>
      </c>
      <c r="F76" s="55" t="s">
        <v>50</v>
      </c>
      <c r="G76" s="148"/>
    </row>
    <row r="77">
      <c r="A77" s="53" t="str">
        <f t="shared" si="3"/>
        <v>AO-02-TC-75</v>
      </c>
      <c r="B77" s="64" t="s">
        <v>1231</v>
      </c>
      <c r="C77" s="54" t="s">
        <v>1012</v>
      </c>
      <c r="D77" s="64" t="s">
        <v>1232</v>
      </c>
      <c r="E77" s="64" t="s">
        <v>1233</v>
      </c>
      <c r="F77" s="55" t="s">
        <v>50</v>
      </c>
      <c r="G77" s="148"/>
    </row>
    <row r="78">
      <c r="A78" s="53" t="str">
        <f t="shared" si="3"/>
        <v>AO-02-TC-76</v>
      </c>
      <c r="B78" s="64" t="s">
        <v>1234</v>
      </c>
      <c r="C78" s="54" t="s">
        <v>1012</v>
      </c>
      <c r="D78" s="147" t="s">
        <v>1235</v>
      </c>
      <c r="E78" s="147" t="s">
        <v>1236</v>
      </c>
      <c r="F78" s="55" t="s">
        <v>50</v>
      </c>
      <c r="G78" s="148"/>
    </row>
    <row r="79">
      <c r="A79" s="53" t="str">
        <f t="shared" si="3"/>
        <v>AO-02-TC-77</v>
      </c>
      <c r="B79" s="146" t="s">
        <v>1237</v>
      </c>
      <c r="C79" s="54" t="s">
        <v>1012</v>
      </c>
      <c r="D79" s="147" t="s">
        <v>1238</v>
      </c>
      <c r="E79" s="147" t="s">
        <v>1239</v>
      </c>
      <c r="F79" s="55" t="s">
        <v>50</v>
      </c>
      <c r="G79" s="148"/>
    </row>
    <row r="80">
      <c r="A80" s="53" t="str">
        <f t="shared" si="3"/>
        <v>AO-02-TC-78</v>
      </c>
      <c r="B80" s="146" t="s">
        <v>1240</v>
      </c>
      <c r="C80" s="54" t="s">
        <v>1012</v>
      </c>
      <c r="D80" s="64" t="s">
        <v>1241</v>
      </c>
      <c r="E80" s="64" t="s">
        <v>1242</v>
      </c>
      <c r="F80" s="55" t="s">
        <v>50</v>
      </c>
      <c r="G80" s="148"/>
    </row>
    <row r="81">
      <c r="A81" s="53" t="str">
        <f t="shared" si="3"/>
        <v>AO-02-TC-79</v>
      </c>
      <c r="B81" s="146" t="s">
        <v>1243</v>
      </c>
      <c r="C81" s="54" t="s">
        <v>1012</v>
      </c>
      <c r="D81" s="64" t="s">
        <v>1244</v>
      </c>
      <c r="E81" s="64" t="s">
        <v>1245</v>
      </c>
      <c r="F81" s="55" t="s">
        <v>50</v>
      </c>
      <c r="G81" s="148"/>
    </row>
    <row r="82">
      <c r="A82" s="53" t="str">
        <f t="shared" si="3"/>
        <v>AO-02-TC-80</v>
      </c>
      <c r="B82" s="146" t="s">
        <v>1246</v>
      </c>
      <c r="C82" s="54" t="s">
        <v>1012</v>
      </c>
      <c r="D82" s="64" t="s">
        <v>1247</v>
      </c>
      <c r="E82" s="64" t="s">
        <v>1248</v>
      </c>
      <c r="F82" s="55" t="s">
        <v>50</v>
      </c>
      <c r="G82" s="148"/>
    </row>
    <row r="83">
      <c r="A83" s="53" t="str">
        <f t="shared" si="3"/>
        <v>AO-02-TC-81</v>
      </c>
      <c r="B83" s="146" t="s">
        <v>1249</v>
      </c>
      <c r="C83" s="54" t="s">
        <v>1012</v>
      </c>
      <c r="D83" s="64" t="s">
        <v>1250</v>
      </c>
      <c r="E83" s="55" t="s">
        <v>1198</v>
      </c>
      <c r="F83" s="55" t="s">
        <v>50</v>
      </c>
      <c r="G83" s="148"/>
    </row>
    <row r="84">
      <c r="A84" s="53" t="str">
        <f t="shared" si="3"/>
        <v>AO-02-TC-82</v>
      </c>
      <c r="B84" s="146" t="s">
        <v>1251</v>
      </c>
      <c r="C84" s="54" t="s">
        <v>1012</v>
      </c>
      <c r="D84" s="64" t="s">
        <v>1252</v>
      </c>
      <c r="E84" s="55" t="s">
        <v>1201</v>
      </c>
      <c r="F84" s="55" t="s">
        <v>50</v>
      </c>
      <c r="G84" s="148"/>
    </row>
    <row r="85">
      <c r="A85" s="53" t="str">
        <f t="shared" si="3"/>
        <v>AO-02-TC-83</v>
      </c>
      <c r="B85" s="146" t="s">
        <v>1253</v>
      </c>
      <c r="C85" s="54" t="s">
        <v>1012</v>
      </c>
      <c r="D85" s="64" t="s">
        <v>1254</v>
      </c>
      <c r="E85" s="147" t="s">
        <v>1255</v>
      </c>
      <c r="F85" s="55" t="s">
        <v>50</v>
      </c>
      <c r="G85" s="148"/>
    </row>
    <row r="86">
      <c r="A86" s="53" t="str">
        <f t="shared" si="3"/>
        <v>AO-02-TC-84</v>
      </c>
      <c r="B86" s="146" t="s">
        <v>1256</v>
      </c>
      <c r="C86" s="54" t="s">
        <v>1012</v>
      </c>
      <c r="D86" s="147" t="s">
        <v>1257</v>
      </c>
      <c r="E86" s="147" t="s">
        <v>1258</v>
      </c>
      <c r="F86" s="55" t="s">
        <v>50</v>
      </c>
      <c r="G86" s="148"/>
    </row>
    <row r="87">
      <c r="A87" s="53" t="str">
        <f t="shared" si="3"/>
        <v>AO-02-TC-85</v>
      </c>
      <c r="B87" s="64" t="s">
        <v>1259</v>
      </c>
      <c r="C87" s="54" t="s">
        <v>1012</v>
      </c>
      <c r="D87" s="64" t="s">
        <v>1260</v>
      </c>
      <c r="E87" s="147" t="s">
        <v>1261</v>
      </c>
      <c r="F87" s="55" t="s">
        <v>50</v>
      </c>
      <c r="G87" s="148"/>
    </row>
    <row r="88">
      <c r="A88" s="53" t="str">
        <f t="shared" si="3"/>
        <v>AO-02-TC-86</v>
      </c>
      <c r="B88" s="64" t="s">
        <v>1262</v>
      </c>
      <c r="C88" s="54" t="s">
        <v>1012</v>
      </c>
      <c r="D88" s="64" t="s">
        <v>1263</v>
      </c>
      <c r="E88" s="147" t="s">
        <v>1264</v>
      </c>
      <c r="F88" s="55" t="s">
        <v>50</v>
      </c>
      <c r="G88" s="148"/>
    </row>
    <row r="89">
      <c r="A89" s="53" t="str">
        <f t="shared" si="3"/>
        <v>AO-02-TC-87</v>
      </c>
      <c r="B89" s="64" t="s">
        <v>1265</v>
      </c>
      <c r="C89" s="54" t="s">
        <v>1012</v>
      </c>
      <c r="D89" s="64" t="s">
        <v>1266</v>
      </c>
      <c r="E89" s="147" t="s">
        <v>1267</v>
      </c>
      <c r="F89" s="55" t="s">
        <v>50</v>
      </c>
      <c r="G89" s="148"/>
    </row>
    <row r="90">
      <c r="A90" s="53" t="str">
        <f t="shared" si="3"/>
        <v>AO-02-TC-88</v>
      </c>
      <c r="B90" s="64" t="s">
        <v>1268</v>
      </c>
      <c r="C90" s="54" t="s">
        <v>1012</v>
      </c>
      <c r="D90" s="64" t="s">
        <v>1269</v>
      </c>
      <c r="E90" s="147" t="s">
        <v>1270</v>
      </c>
      <c r="F90" s="55" t="s">
        <v>50</v>
      </c>
      <c r="G90" s="148"/>
    </row>
    <row r="91">
      <c r="A91" s="53" t="str">
        <f t="shared" si="3"/>
        <v>AO-02-TC-89</v>
      </c>
      <c r="B91" s="64" t="s">
        <v>1268</v>
      </c>
      <c r="C91" s="54" t="s">
        <v>1012</v>
      </c>
      <c r="D91" s="64" t="s">
        <v>1271</v>
      </c>
      <c r="E91" s="147" t="s">
        <v>1272</v>
      </c>
      <c r="F91" s="55" t="s">
        <v>50</v>
      </c>
      <c r="G91" s="148"/>
    </row>
    <row r="92">
      <c r="A92" s="53" t="str">
        <f t="shared" si="3"/>
        <v>AO-02-TC-90</v>
      </c>
      <c r="B92" s="64" t="s">
        <v>1273</v>
      </c>
      <c r="C92" s="54" t="s">
        <v>1012</v>
      </c>
      <c r="D92" s="64" t="s">
        <v>1274</v>
      </c>
      <c r="E92" s="64" t="s">
        <v>1275</v>
      </c>
      <c r="F92" s="55" t="s">
        <v>50</v>
      </c>
      <c r="G92" s="148"/>
    </row>
    <row r="93">
      <c r="A93" s="53" t="str">
        <f t="shared" si="3"/>
        <v>AO-02-TC-91</v>
      </c>
      <c r="B93" s="64" t="s">
        <v>1276</v>
      </c>
      <c r="C93" s="54" t="s">
        <v>1012</v>
      </c>
      <c r="D93" s="64" t="s">
        <v>1277</v>
      </c>
      <c r="E93" s="64" t="s">
        <v>1278</v>
      </c>
      <c r="F93" s="55" t="s">
        <v>50</v>
      </c>
      <c r="G93" s="148"/>
    </row>
    <row r="94">
      <c r="A94" s="53" t="str">
        <f t="shared" si="3"/>
        <v>AO-02-TC-92</v>
      </c>
      <c r="B94" s="64" t="s">
        <v>1279</v>
      </c>
      <c r="C94" s="54" t="s">
        <v>1012</v>
      </c>
      <c r="D94" s="64" t="s">
        <v>1280</v>
      </c>
      <c r="E94" s="64" t="s">
        <v>1281</v>
      </c>
      <c r="F94" s="55" t="s">
        <v>50</v>
      </c>
      <c r="G94" s="148"/>
    </row>
    <row r="95">
      <c r="A95" s="53" t="str">
        <f t="shared" si="3"/>
        <v>AO-02-TC-93</v>
      </c>
      <c r="B95" s="64" t="s">
        <v>1282</v>
      </c>
      <c r="C95" s="54" t="s">
        <v>1012</v>
      </c>
      <c r="D95" s="64" t="s">
        <v>1283</v>
      </c>
      <c r="E95" s="64" t="s">
        <v>1284</v>
      </c>
      <c r="F95" s="55" t="s">
        <v>50</v>
      </c>
      <c r="G95" s="148"/>
    </row>
    <row r="96">
      <c r="A96" s="53" t="str">
        <f t="shared" si="3"/>
        <v>AO-02-TC-94</v>
      </c>
      <c r="B96" s="64" t="s">
        <v>1285</v>
      </c>
      <c r="C96" s="54" t="s">
        <v>1012</v>
      </c>
      <c r="D96" s="64" t="s">
        <v>1286</v>
      </c>
      <c r="E96" s="64" t="s">
        <v>1287</v>
      </c>
      <c r="F96" s="55" t="s">
        <v>50</v>
      </c>
      <c r="G96" s="148"/>
    </row>
    <row r="97">
      <c r="A97" s="53" t="str">
        <f t="shared" si="3"/>
        <v>AO-02-TC-95</v>
      </c>
      <c r="B97" s="64" t="s">
        <v>1288</v>
      </c>
      <c r="C97" s="54" t="s">
        <v>1012</v>
      </c>
      <c r="D97" s="64" t="s">
        <v>1289</v>
      </c>
      <c r="E97" s="64" t="s">
        <v>1275</v>
      </c>
      <c r="F97" s="55" t="s">
        <v>50</v>
      </c>
      <c r="G97" s="148"/>
    </row>
    <row r="98">
      <c r="A98" s="53" t="str">
        <f t="shared" si="3"/>
        <v>AO-02-TC-96</v>
      </c>
      <c r="B98" s="64" t="s">
        <v>1290</v>
      </c>
      <c r="C98" s="54" t="s">
        <v>1012</v>
      </c>
      <c r="D98" s="64" t="s">
        <v>1291</v>
      </c>
      <c r="E98" s="64" t="s">
        <v>1278</v>
      </c>
      <c r="F98" s="55" t="s">
        <v>50</v>
      </c>
      <c r="G98" s="148"/>
    </row>
    <row r="99">
      <c r="A99" s="53" t="str">
        <f t="shared" si="3"/>
        <v>AO-02-TC-97</v>
      </c>
      <c r="B99" s="64" t="s">
        <v>1292</v>
      </c>
      <c r="C99" s="54" t="s">
        <v>1012</v>
      </c>
      <c r="D99" s="64" t="s">
        <v>1293</v>
      </c>
      <c r="E99" s="64" t="s">
        <v>1281</v>
      </c>
      <c r="F99" s="55" t="s">
        <v>50</v>
      </c>
      <c r="G99" s="148"/>
    </row>
    <row r="100">
      <c r="A100" s="53" t="str">
        <f t="shared" si="3"/>
        <v>AO-02-TC-98</v>
      </c>
      <c r="B100" s="64" t="s">
        <v>1294</v>
      </c>
      <c r="C100" s="54" t="s">
        <v>1012</v>
      </c>
      <c r="D100" s="64" t="s">
        <v>1295</v>
      </c>
      <c r="E100" s="64" t="s">
        <v>1284</v>
      </c>
      <c r="F100" s="55" t="s">
        <v>50</v>
      </c>
      <c r="G100" s="148"/>
    </row>
    <row r="101">
      <c r="A101" s="53" t="str">
        <f t="shared" si="3"/>
        <v>AO-02-TC-99</v>
      </c>
      <c r="B101" s="64" t="s">
        <v>1296</v>
      </c>
      <c r="C101" s="54" t="s">
        <v>1012</v>
      </c>
      <c r="D101" s="64" t="s">
        <v>1297</v>
      </c>
      <c r="E101" s="64" t="s">
        <v>1287</v>
      </c>
      <c r="F101" s="55" t="s">
        <v>50</v>
      </c>
      <c r="G101" s="148"/>
    </row>
    <row r="102">
      <c r="A102" s="53" t="str">
        <f t="shared" si="3"/>
        <v>AO-02-TC-100</v>
      </c>
      <c r="B102" s="64" t="s">
        <v>1298</v>
      </c>
      <c r="C102" s="54" t="s">
        <v>1012</v>
      </c>
      <c r="D102" s="64" t="s">
        <v>1299</v>
      </c>
      <c r="E102" s="64" t="s">
        <v>1275</v>
      </c>
      <c r="F102" s="55" t="s">
        <v>50</v>
      </c>
      <c r="G102" s="148"/>
    </row>
    <row r="103">
      <c r="A103" s="53" t="str">
        <f t="shared" si="3"/>
        <v>AO-02-TC-101</v>
      </c>
      <c r="B103" s="64" t="s">
        <v>1300</v>
      </c>
      <c r="C103" s="54" t="s">
        <v>1012</v>
      </c>
      <c r="D103" s="64" t="s">
        <v>1301</v>
      </c>
      <c r="E103" s="64" t="s">
        <v>1278</v>
      </c>
      <c r="F103" s="55" t="s">
        <v>50</v>
      </c>
      <c r="G103" s="148"/>
    </row>
    <row r="104">
      <c r="A104" s="53" t="str">
        <f t="shared" si="3"/>
        <v>AO-02-TC-102</v>
      </c>
      <c r="B104" s="64" t="s">
        <v>1302</v>
      </c>
      <c r="C104" s="54" t="s">
        <v>1012</v>
      </c>
      <c r="D104" s="64" t="s">
        <v>1303</v>
      </c>
      <c r="E104" s="64" t="s">
        <v>1281</v>
      </c>
      <c r="F104" s="55" t="s">
        <v>50</v>
      </c>
      <c r="G104" s="148"/>
    </row>
    <row r="105">
      <c r="A105" s="53" t="str">
        <f t="shared" si="3"/>
        <v>AO-02-TC-103</v>
      </c>
      <c r="B105" s="64" t="s">
        <v>1304</v>
      </c>
      <c r="C105" s="54" t="s">
        <v>1012</v>
      </c>
      <c r="D105" s="64" t="s">
        <v>1305</v>
      </c>
      <c r="E105" s="64" t="s">
        <v>1284</v>
      </c>
      <c r="F105" s="55" t="s">
        <v>50</v>
      </c>
      <c r="G105" s="148"/>
    </row>
    <row r="106">
      <c r="A106" s="53" t="str">
        <f t="shared" si="3"/>
        <v>AO-02-TC-104</v>
      </c>
      <c r="B106" s="64" t="s">
        <v>1306</v>
      </c>
      <c r="C106" s="54" t="s">
        <v>1012</v>
      </c>
      <c r="D106" s="64" t="s">
        <v>1307</v>
      </c>
      <c r="E106" s="64" t="s">
        <v>1287</v>
      </c>
      <c r="F106" s="55" t="s">
        <v>50</v>
      </c>
      <c r="G106" s="148"/>
    </row>
    <row r="107">
      <c r="A107" s="53" t="str">
        <f t="shared" si="3"/>
        <v>AO-02-TC-105</v>
      </c>
      <c r="B107" s="64" t="s">
        <v>1308</v>
      </c>
      <c r="C107" s="54" t="s">
        <v>1012</v>
      </c>
      <c r="D107" s="64" t="s">
        <v>1309</v>
      </c>
      <c r="E107" s="64" t="s">
        <v>1275</v>
      </c>
      <c r="F107" s="55" t="s">
        <v>50</v>
      </c>
      <c r="G107" s="148"/>
    </row>
    <row r="108">
      <c r="A108" s="53" t="str">
        <f t="shared" si="3"/>
        <v>AO-02-TC-106</v>
      </c>
      <c r="B108" s="64" t="s">
        <v>1310</v>
      </c>
      <c r="C108" s="54" t="s">
        <v>1012</v>
      </c>
      <c r="D108" s="64" t="s">
        <v>1311</v>
      </c>
      <c r="E108" s="64" t="s">
        <v>1278</v>
      </c>
      <c r="F108" s="55" t="s">
        <v>50</v>
      </c>
      <c r="G108" s="148"/>
    </row>
    <row r="109">
      <c r="A109" s="53" t="str">
        <f t="shared" si="3"/>
        <v>AO-02-TC-107</v>
      </c>
      <c r="B109" s="70" t="s">
        <v>1312</v>
      </c>
      <c r="C109" s="54" t="s">
        <v>1012</v>
      </c>
      <c r="D109" s="70" t="s">
        <v>1313</v>
      </c>
      <c r="E109" s="70" t="s">
        <v>1281</v>
      </c>
      <c r="F109" s="55" t="s">
        <v>50</v>
      </c>
      <c r="G109" s="79"/>
    </row>
    <row r="110">
      <c r="A110" s="53" t="str">
        <f t="shared" si="3"/>
        <v>AO-02-TC-108</v>
      </c>
      <c r="B110" s="70" t="s">
        <v>1314</v>
      </c>
      <c r="C110" s="54" t="s">
        <v>1012</v>
      </c>
      <c r="D110" s="70" t="s">
        <v>1315</v>
      </c>
      <c r="E110" s="70" t="s">
        <v>1284</v>
      </c>
      <c r="F110" s="55" t="s">
        <v>50</v>
      </c>
      <c r="G110" s="79"/>
    </row>
    <row r="111">
      <c r="A111" s="53" t="str">
        <f t="shared" si="3"/>
        <v>AO-02-TC-109</v>
      </c>
      <c r="B111" s="70" t="s">
        <v>1316</v>
      </c>
      <c r="C111" s="54" t="s">
        <v>1012</v>
      </c>
      <c r="D111" s="70" t="s">
        <v>1317</v>
      </c>
      <c r="E111" s="70" t="s">
        <v>1287</v>
      </c>
      <c r="F111" s="55" t="s">
        <v>50</v>
      </c>
      <c r="G111" s="79"/>
    </row>
    <row r="112">
      <c r="A112" s="53" t="str">
        <f t="shared" si="3"/>
        <v>AO-02-TC-110</v>
      </c>
      <c r="B112" s="70" t="s">
        <v>1318</v>
      </c>
      <c r="C112" s="54" t="s">
        <v>1012</v>
      </c>
      <c r="D112" s="70" t="s">
        <v>1319</v>
      </c>
      <c r="E112" s="70" t="s">
        <v>1275</v>
      </c>
      <c r="F112" s="55" t="s">
        <v>50</v>
      </c>
      <c r="G112" s="79"/>
    </row>
    <row r="113">
      <c r="A113" s="53" t="str">
        <f t="shared" si="3"/>
        <v>AO-02-TC-111</v>
      </c>
      <c r="B113" s="70" t="s">
        <v>1320</v>
      </c>
      <c r="C113" s="54" t="s">
        <v>1012</v>
      </c>
      <c r="D113" s="70" t="s">
        <v>1321</v>
      </c>
      <c r="E113" s="70" t="s">
        <v>1322</v>
      </c>
      <c r="F113" s="55" t="s">
        <v>50</v>
      </c>
      <c r="G113" s="79"/>
    </row>
    <row r="114">
      <c r="A114" s="53" t="str">
        <f t="shared" si="3"/>
        <v>AO-02-TC-112</v>
      </c>
      <c r="B114" s="70" t="s">
        <v>1323</v>
      </c>
      <c r="C114" s="54" t="s">
        <v>1012</v>
      </c>
      <c r="D114" s="70" t="s">
        <v>1324</v>
      </c>
      <c r="E114" s="70" t="s">
        <v>1281</v>
      </c>
      <c r="F114" s="55" t="s">
        <v>50</v>
      </c>
      <c r="G114" s="79"/>
    </row>
    <row r="115">
      <c r="A115" s="53" t="str">
        <f t="shared" si="3"/>
        <v>AO-02-TC-113</v>
      </c>
      <c r="B115" s="70" t="s">
        <v>1325</v>
      </c>
      <c r="C115" s="54" t="s">
        <v>1012</v>
      </c>
      <c r="D115" s="70" t="s">
        <v>1326</v>
      </c>
      <c r="E115" s="70" t="s">
        <v>1284</v>
      </c>
      <c r="F115" s="55" t="s">
        <v>50</v>
      </c>
      <c r="G115" s="79"/>
    </row>
    <row r="116">
      <c r="A116" s="53" t="str">
        <f t="shared" si="3"/>
        <v>AO-02-TC-114</v>
      </c>
      <c r="B116" s="70" t="s">
        <v>1327</v>
      </c>
      <c r="C116" s="54" t="s">
        <v>1012</v>
      </c>
      <c r="D116" s="70" t="s">
        <v>1328</v>
      </c>
      <c r="E116" s="70" t="s">
        <v>1287</v>
      </c>
      <c r="F116" s="55" t="s">
        <v>50</v>
      </c>
      <c r="G116" s="79"/>
    </row>
    <row r="117">
      <c r="A117" s="53" t="str">
        <f t="shared" si="3"/>
        <v>AO-02-TC-115</v>
      </c>
      <c r="B117" s="70" t="s">
        <v>1329</v>
      </c>
      <c r="C117" s="54" t="s">
        <v>1012</v>
      </c>
      <c r="D117" s="70" t="s">
        <v>1330</v>
      </c>
      <c r="E117" s="70" t="s">
        <v>1331</v>
      </c>
      <c r="F117" s="55" t="s">
        <v>50</v>
      </c>
      <c r="G117" s="79"/>
    </row>
    <row r="118">
      <c r="A118" s="53" t="str">
        <f t="shared" si="3"/>
        <v>AO-02-TC-116</v>
      </c>
      <c r="B118" s="70" t="s">
        <v>1332</v>
      </c>
      <c r="C118" s="54" t="s">
        <v>1012</v>
      </c>
      <c r="D118" s="70" t="s">
        <v>1333</v>
      </c>
      <c r="E118" s="70" t="s">
        <v>1334</v>
      </c>
      <c r="F118" s="55" t="s">
        <v>50</v>
      </c>
      <c r="G118" s="79"/>
    </row>
    <row r="119">
      <c r="A119" s="53" t="str">
        <f t="shared" si="3"/>
        <v>AO-02-TC-117</v>
      </c>
      <c r="B119" s="70" t="s">
        <v>1335</v>
      </c>
      <c r="C119" s="54" t="s">
        <v>1012</v>
      </c>
      <c r="D119" s="70" t="s">
        <v>1336</v>
      </c>
      <c r="E119" s="70" t="s">
        <v>1337</v>
      </c>
      <c r="F119" s="55" t="s">
        <v>50</v>
      </c>
      <c r="G119" s="79"/>
    </row>
    <row r="120">
      <c r="A120" s="53" t="str">
        <f t="shared" si="3"/>
        <v>AO-02-TC-118</v>
      </c>
      <c r="B120" s="70" t="s">
        <v>1338</v>
      </c>
      <c r="C120" s="54" t="s">
        <v>1012</v>
      </c>
      <c r="D120" s="70" t="s">
        <v>1339</v>
      </c>
      <c r="E120" s="70" t="s">
        <v>1340</v>
      </c>
      <c r="F120" s="55" t="s">
        <v>50</v>
      </c>
      <c r="G120" s="79"/>
    </row>
    <row r="121">
      <c r="A121" s="53" t="str">
        <f t="shared" si="3"/>
        <v>AO-02-TC-119</v>
      </c>
      <c r="B121" s="70" t="s">
        <v>1341</v>
      </c>
      <c r="C121" s="54" t="s">
        <v>1012</v>
      </c>
      <c r="D121" s="70" t="s">
        <v>1342</v>
      </c>
      <c r="E121" s="70" t="s">
        <v>1343</v>
      </c>
      <c r="F121" s="55" t="s">
        <v>50</v>
      </c>
      <c r="G121" s="79"/>
    </row>
    <row r="122">
      <c r="A122" s="53" t="str">
        <f t="shared" si="3"/>
        <v>AO-02-TC-120</v>
      </c>
      <c r="B122" s="70" t="s">
        <v>1344</v>
      </c>
      <c r="C122" s="54" t="s">
        <v>1012</v>
      </c>
      <c r="D122" s="70" t="s">
        <v>1345</v>
      </c>
      <c r="E122" s="70" t="s">
        <v>1346</v>
      </c>
      <c r="F122" s="55" t="s">
        <v>50</v>
      </c>
      <c r="G122" s="79"/>
    </row>
    <row r="123">
      <c r="A123" s="53" t="str">
        <f t="shared" si="3"/>
        <v>AO-02-TC-121</v>
      </c>
      <c r="B123" s="70" t="s">
        <v>1347</v>
      </c>
      <c r="C123" s="54" t="s">
        <v>1012</v>
      </c>
      <c r="D123" s="70" t="s">
        <v>1348</v>
      </c>
      <c r="E123" s="70" t="s">
        <v>1349</v>
      </c>
      <c r="F123" s="55" t="s">
        <v>50</v>
      </c>
      <c r="G123" s="79"/>
    </row>
    <row r="124">
      <c r="A124" s="53" t="str">
        <f t="shared" si="3"/>
        <v>AO-02-TC-122</v>
      </c>
      <c r="B124" s="70" t="s">
        <v>1350</v>
      </c>
      <c r="C124" s="54" t="s">
        <v>1012</v>
      </c>
      <c r="D124" s="70" t="s">
        <v>1351</v>
      </c>
      <c r="E124" s="70" t="s">
        <v>1352</v>
      </c>
      <c r="F124" s="55" t="s">
        <v>50</v>
      </c>
      <c r="G124" s="79"/>
    </row>
    <row r="125">
      <c r="A125" s="53" t="str">
        <f t="shared" si="3"/>
        <v>AO-02-TC-123</v>
      </c>
      <c r="B125" s="70" t="s">
        <v>1353</v>
      </c>
      <c r="C125" s="54" t="s">
        <v>1012</v>
      </c>
      <c r="D125" s="70" t="s">
        <v>1354</v>
      </c>
      <c r="E125" s="70" t="s">
        <v>1355</v>
      </c>
      <c r="F125" s="55" t="s">
        <v>50</v>
      </c>
      <c r="G125" s="79"/>
    </row>
    <row r="126">
      <c r="A126" s="53" t="str">
        <f t="shared" si="3"/>
        <v>AO-02-TC-124</v>
      </c>
      <c r="B126" s="70" t="s">
        <v>1356</v>
      </c>
      <c r="C126" s="54" t="s">
        <v>1012</v>
      </c>
      <c r="D126" s="70" t="s">
        <v>1357</v>
      </c>
      <c r="E126" s="70" t="s">
        <v>1358</v>
      </c>
      <c r="F126" s="55" t="s">
        <v>50</v>
      </c>
      <c r="G126" s="79"/>
    </row>
    <row r="127">
      <c r="A127" s="53" t="str">
        <f t="shared" si="3"/>
        <v>AO-02-TC-125</v>
      </c>
      <c r="B127" s="70" t="s">
        <v>1359</v>
      </c>
      <c r="C127" s="54" t="s">
        <v>1012</v>
      </c>
      <c r="D127" s="70" t="s">
        <v>1360</v>
      </c>
      <c r="E127" s="70" t="s">
        <v>1361</v>
      </c>
      <c r="F127" s="55" t="s">
        <v>50</v>
      </c>
      <c r="G127" s="79"/>
    </row>
    <row r="128">
      <c r="A128" s="53" t="str">
        <f t="shared" si="3"/>
        <v>AO-02-TC-126</v>
      </c>
      <c r="B128" s="70" t="s">
        <v>1362</v>
      </c>
      <c r="C128" s="54" t="s">
        <v>1012</v>
      </c>
      <c r="D128" s="70" t="s">
        <v>1363</v>
      </c>
      <c r="E128" s="70" t="s">
        <v>1364</v>
      </c>
      <c r="F128" s="55" t="s">
        <v>50</v>
      </c>
      <c r="G128" s="79"/>
    </row>
    <row r="129">
      <c r="A129" s="53" t="str">
        <f t="shared" si="3"/>
        <v>AO-02-TC-127</v>
      </c>
      <c r="B129" s="70" t="s">
        <v>1365</v>
      </c>
      <c r="C129" s="54" t="s">
        <v>1012</v>
      </c>
      <c r="D129" s="70" t="s">
        <v>1366</v>
      </c>
      <c r="E129" s="70" t="s">
        <v>1367</v>
      </c>
      <c r="F129" s="55" t="s">
        <v>50</v>
      </c>
      <c r="G129" s="79"/>
    </row>
    <row r="130">
      <c r="A130" s="53" t="str">
        <f t="shared" si="3"/>
        <v>AO-02-TC-128</v>
      </c>
      <c r="B130" s="70" t="s">
        <v>1368</v>
      </c>
      <c r="C130" s="54" t="s">
        <v>1012</v>
      </c>
      <c r="D130" s="70" t="s">
        <v>1369</v>
      </c>
      <c r="E130" s="70" t="s">
        <v>1370</v>
      </c>
      <c r="F130" s="55" t="s">
        <v>50</v>
      </c>
      <c r="G130" s="79"/>
    </row>
    <row r="131">
      <c r="A131" s="53" t="str">
        <f t="shared" si="3"/>
        <v>AO-02-TC-129</v>
      </c>
      <c r="B131" s="70" t="s">
        <v>1371</v>
      </c>
      <c r="C131" s="54" t="s">
        <v>1012</v>
      </c>
      <c r="D131" s="70" t="s">
        <v>1372</v>
      </c>
      <c r="E131" s="70" t="s">
        <v>1373</v>
      </c>
      <c r="F131" s="55" t="s">
        <v>50</v>
      </c>
      <c r="G131" s="79"/>
    </row>
    <row r="132">
      <c r="A132" s="53" t="str">
        <f t="shared" si="3"/>
        <v>AO-02-TC-130</v>
      </c>
      <c r="B132" s="70" t="s">
        <v>1374</v>
      </c>
      <c r="C132" s="54" t="s">
        <v>1012</v>
      </c>
      <c r="D132" s="70" t="s">
        <v>1375</v>
      </c>
      <c r="E132" s="70" t="s">
        <v>1376</v>
      </c>
      <c r="F132" s="55" t="s">
        <v>50</v>
      </c>
      <c r="G132" s="79"/>
    </row>
    <row r="133">
      <c r="A133" s="53" t="str">
        <f t="shared" si="3"/>
        <v>AO-02-TC-131</v>
      </c>
      <c r="B133" s="70" t="s">
        <v>1377</v>
      </c>
      <c r="C133" s="54" t="s">
        <v>1012</v>
      </c>
      <c r="D133" s="70" t="s">
        <v>1378</v>
      </c>
      <c r="E133" s="70" t="s">
        <v>1379</v>
      </c>
      <c r="F133" s="55" t="s">
        <v>50</v>
      </c>
      <c r="G133" s="79"/>
    </row>
    <row r="134">
      <c r="A134" s="53" t="str">
        <f t="shared" si="3"/>
        <v>AO-02-TC-132</v>
      </c>
      <c r="B134" s="70" t="s">
        <v>1380</v>
      </c>
      <c r="C134" s="54" t="s">
        <v>1012</v>
      </c>
      <c r="D134" s="70" t="s">
        <v>1381</v>
      </c>
      <c r="E134" s="70" t="s">
        <v>1382</v>
      </c>
      <c r="F134" s="55" t="s">
        <v>50</v>
      </c>
      <c r="G134" s="79"/>
    </row>
    <row r="135">
      <c r="A135" s="53" t="str">
        <f t="shared" si="3"/>
        <v>AO-02-TC-133</v>
      </c>
      <c r="B135" s="70" t="s">
        <v>1383</v>
      </c>
      <c r="C135" s="54" t="s">
        <v>1012</v>
      </c>
      <c r="D135" s="70" t="s">
        <v>1384</v>
      </c>
      <c r="E135" s="70" t="s">
        <v>1385</v>
      </c>
      <c r="F135" s="55" t="s">
        <v>50</v>
      </c>
      <c r="G135" s="79"/>
    </row>
    <row r="136">
      <c r="A136" s="53" t="str">
        <f t="shared" si="3"/>
        <v>AO-02-TC-134</v>
      </c>
      <c r="B136" s="70" t="s">
        <v>1386</v>
      </c>
      <c r="C136" s="54" t="s">
        <v>1012</v>
      </c>
      <c r="D136" s="70" t="s">
        <v>1387</v>
      </c>
      <c r="E136" s="70" t="s">
        <v>1388</v>
      </c>
      <c r="F136" s="55" t="s">
        <v>50</v>
      </c>
      <c r="G136" s="79"/>
    </row>
    <row r="137">
      <c r="A137" s="53" t="str">
        <f t="shared" si="3"/>
        <v>AO-02-TC-135</v>
      </c>
      <c r="B137" s="70" t="s">
        <v>1389</v>
      </c>
      <c r="C137" s="54" t="s">
        <v>1012</v>
      </c>
      <c r="D137" s="70" t="s">
        <v>1390</v>
      </c>
      <c r="E137" s="70" t="s">
        <v>1391</v>
      </c>
      <c r="F137" s="55" t="s">
        <v>53</v>
      </c>
      <c r="G137" s="79"/>
    </row>
    <row r="138">
      <c r="A138" s="53" t="str">
        <f t="shared" si="3"/>
        <v>AO-02-TC-136</v>
      </c>
      <c r="B138" s="70" t="s">
        <v>1392</v>
      </c>
      <c r="C138" s="54" t="s">
        <v>1012</v>
      </c>
      <c r="D138" s="70" t="s">
        <v>1393</v>
      </c>
      <c r="E138" s="70" t="s">
        <v>1394</v>
      </c>
      <c r="F138" s="55" t="s">
        <v>53</v>
      </c>
      <c r="G138" s="79"/>
    </row>
    <row r="139">
      <c r="A139" s="53" t="str">
        <f t="shared" si="3"/>
        <v>AO-02-TC-137</v>
      </c>
      <c r="B139" s="70" t="s">
        <v>1395</v>
      </c>
      <c r="C139" s="54" t="s">
        <v>1012</v>
      </c>
      <c r="D139" s="79"/>
      <c r="E139" s="79"/>
      <c r="F139" s="55" t="s">
        <v>50</v>
      </c>
      <c r="G139" s="79"/>
    </row>
    <row r="140">
      <c r="A140" s="53" t="str">
        <f t="shared" si="3"/>
        <v>AO-02-TC-138</v>
      </c>
      <c r="B140" s="70" t="s">
        <v>1396</v>
      </c>
      <c r="C140" s="54" t="s">
        <v>1012</v>
      </c>
      <c r="D140" s="79"/>
      <c r="E140" s="79"/>
      <c r="F140" s="55" t="s">
        <v>50</v>
      </c>
      <c r="G140" s="79"/>
    </row>
    <row r="141">
      <c r="A141" s="53" t="str">
        <f t="shared" si="3"/>
        <v>AO-02-TC-139</v>
      </c>
      <c r="B141" s="70" t="s">
        <v>1397</v>
      </c>
      <c r="C141" s="79"/>
      <c r="D141" s="79"/>
      <c r="E141" s="79"/>
      <c r="F141" s="55" t="s">
        <v>50</v>
      </c>
      <c r="G141" s="79"/>
    </row>
    <row r="142">
      <c r="A142" s="53" t="str">
        <f t="shared" si="3"/>
        <v>AO-02-TC-140</v>
      </c>
      <c r="B142" s="70" t="s">
        <v>1398</v>
      </c>
      <c r="C142" s="79"/>
      <c r="D142" s="79"/>
      <c r="E142" s="79"/>
      <c r="F142" s="55" t="s">
        <v>50</v>
      </c>
      <c r="G142" s="79"/>
    </row>
    <row r="143">
      <c r="A143" s="53" t="str">
        <f t="shared" si="3"/>
        <v>AO-02-TC-141</v>
      </c>
      <c r="B143" s="70" t="s">
        <v>1399</v>
      </c>
      <c r="C143" s="79"/>
      <c r="D143" s="79"/>
      <c r="E143" s="79"/>
      <c r="F143" s="55" t="s">
        <v>50</v>
      </c>
      <c r="G143" s="79"/>
    </row>
    <row r="144">
      <c r="A144" s="53" t="str">
        <f t="shared" si="3"/>
        <v>AO-02-TC-142</v>
      </c>
      <c r="B144" s="70" t="s">
        <v>1399</v>
      </c>
      <c r="C144" s="79"/>
      <c r="D144" s="79"/>
      <c r="E144" s="79"/>
      <c r="F144" s="55" t="s">
        <v>50</v>
      </c>
      <c r="G144" s="79"/>
    </row>
    <row r="145">
      <c r="A145" s="53" t="str">
        <f t="shared" si="3"/>
        <v>AO-02-TC-143</v>
      </c>
      <c r="B145" s="70" t="s">
        <v>1400</v>
      </c>
      <c r="C145" s="79"/>
      <c r="D145" s="79"/>
      <c r="E145" s="79"/>
      <c r="F145" s="55" t="s">
        <v>50</v>
      </c>
      <c r="G145" s="79"/>
    </row>
    <row r="146">
      <c r="A146" s="53" t="str">
        <f t="shared" si="3"/>
        <v>AO-02-TC-144</v>
      </c>
      <c r="B146" s="70" t="s">
        <v>1401</v>
      </c>
      <c r="C146" s="149"/>
      <c r="D146" s="149"/>
      <c r="E146" s="149"/>
      <c r="F146" s="55" t="s">
        <v>50</v>
      </c>
      <c r="G146" s="149"/>
    </row>
    <row r="147">
      <c r="A147" s="53" t="str">
        <f t="shared" si="3"/>
        <v>AO-02-TC-145</v>
      </c>
      <c r="B147" s="70" t="s">
        <v>1402</v>
      </c>
      <c r="C147" s="149"/>
      <c r="D147" s="149"/>
      <c r="E147" s="149"/>
      <c r="F147" s="55" t="s">
        <v>50</v>
      </c>
      <c r="G147" s="149"/>
    </row>
    <row r="148">
      <c r="A148" s="53" t="str">
        <f t="shared" si="3"/>
        <v>AO-02-TC-146</v>
      </c>
      <c r="B148" s="70" t="s">
        <v>1403</v>
      </c>
      <c r="C148" s="149"/>
      <c r="D148" s="149"/>
      <c r="E148" s="149"/>
      <c r="F148" s="55" t="s">
        <v>50</v>
      </c>
      <c r="G148" s="149"/>
    </row>
    <row r="149">
      <c r="A149" s="53" t="str">
        <f t="shared" si="3"/>
        <v>AO-02-TC-147</v>
      </c>
      <c r="B149" s="70" t="s">
        <v>1404</v>
      </c>
      <c r="C149" s="149"/>
      <c r="D149" s="149"/>
      <c r="E149" s="149"/>
      <c r="F149" s="55" t="s">
        <v>50</v>
      </c>
      <c r="G149" s="149"/>
    </row>
    <row r="150">
      <c r="A150" s="53" t="str">
        <f t="shared" si="3"/>
        <v>AO-02-TC-148</v>
      </c>
      <c r="B150" s="70" t="s">
        <v>1405</v>
      </c>
      <c r="C150" s="149"/>
      <c r="D150" s="149"/>
      <c r="E150" s="149"/>
      <c r="F150" s="55" t="s">
        <v>50</v>
      </c>
      <c r="G150" s="149"/>
    </row>
    <row r="151">
      <c r="A151" s="53" t="str">
        <f t="shared" si="3"/>
        <v>AO-02-TC-149</v>
      </c>
      <c r="B151" s="70" t="s">
        <v>1406</v>
      </c>
      <c r="C151" s="149"/>
      <c r="D151" s="149"/>
      <c r="E151" s="149"/>
      <c r="F151" s="55" t="s">
        <v>50</v>
      </c>
      <c r="G151" s="149"/>
    </row>
    <row r="152">
      <c r="A152" s="53" t="str">
        <f t="shared" si="3"/>
        <v>AO-02-TC-150</v>
      </c>
      <c r="B152" s="70" t="s">
        <v>1407</v>
      </c>
      <c r="C152" s="149"/>
      <c r="D152" s="149"/>
      <c r="E152" s="149"/>
      <c r="F152" s="55" t="s">
        <v>50</v>
      </c>
      <c r="G152" s="149"/>
    </row>
    <row r="153">
      <c r="A153" s="53" t="str">
        <f t="shared" si="3"/>
        <v>AO-02-TC-151</v>
      </c>
      <c r="B153" s="70" t="s">
        <v>1408</v>
      </c>
      <c r="C153" s="149"/>
      <c r="D153" s="149"/>
      <c r="E153" s="149"/>
      <c r="F153" s="55" t="s">
        <v>50</v>
      </c>
      <c r="G153" s="149"/>
    </row>
    <row r="154">
      <c r="A154" s="53" t="str">
        <f t="shared" si="3"/>
        <v>AO-02-TC-152</v>
      </c>
      <c r="B154" s="70" t="s">
        <v>1409</v>
      </c>
      <c r="C154" s="149"/>
      <c r="D154" s="149"/>
      <c r="E154" s="149"/>
      <c r="F154" s="55" t="s">
        <v>50</v>
      </c>
      <c r="G154" s="149"/>
    </row>
    <row r="155">
      <c r="A155" s="53" t="str">
        <f t="shared" si="3"/>
        <v>AO-02-TC-153</v>
      </c>
      <c r="B155" s="70" t="s">
        <v>1410</v>
      </c>
      <c r="C155" s="149"/>
      <c r="D155" s="149"/>
      <c r="E155" s="149"/>
      <c r="F155" s="55" t="s">
        <v>50</v>
      </c>
      <c r="G155" s="149"/>
    </row>
    <row r="156">
      <c r="A156" s="53" t="str">
        <f t="shared" si="3"/>
        <v>AO-02-TC-154</v>
      </c>
      <c r="B156" s="70" t="s">
        <v>1411</v>
      </c>
      <c r="C156" s="54" t="s">
        <v>331</v>
      </c>
      <c r="D156" s="70" t="s">
        <v>431</v>
      </c>
      <c r="E156" s="70" t="s">
        <v>503</v>
      </c>
      <c r="F156" s="55" t="s">
        <v>51</v>
      </c>
    </row>
    <row r="157">
      <c r="A157" s="53" t="str">
        <f t="shared" si="3"/>
        <v>AO-02-TC-155</v>
      </c>
      <c r="B157" s="70" t="s">
        <v>1412</v>
      </c>
      <c r="C157" s="54" t="s">
        <v>331</v>
      </c>
      <c r="D157" s="70" t="s">
        <v>431</v>
      </c>
      <c r="E157" s="70" t="s">
        <v>436</v>
      </c>
      <c r="F157" s="55" t="s">
        <v>51</v>
      </c>
    </row>
    <row r="158">
      <c r="A158" s="53" t="str">
        <f t="shared" si="3"/>
        <v>AO-02-TC-156</v>
      </c>
      <c r="B158" s="70" t="s">
        <v>1413</v>
      </c>
      <c r="C158" s="54" t="s">
        <v>331</v>
      </c>
      <c r="D158" s="70" t="s">
        <v>1414</v>
      </c>
      <c r="E158" s="70" t="s">
        <v>1415</v>
      </c>
      <c r="F158" s="55" t="s">
        <v>51</v>
      </c>
    </row>
    <row r="159">
      <c r="A159" s="53" t="str">
        <f t="shared" si="3"/>
        <v>AO-02-TC-157</v>
      </c>
      <c r="B159" s="70" t="s">
        <v>1416</v>
      </c>
      <c r="C159" s="54" t="s">
        <v>331</v>
      </c>
      <c r="D159" s="70" t="s">
        <v>431</v>
      </c>
      <c r="E159" s="70" t="s">
        <v>503</v>
      </c>
      <c r="F159" s="55" t="s">
        <v>51</v>
      </c>
    </row>
    <row r="160">
      <c r="A160" s="53" t="str">
        <f t="shared" si="3"/>
        <v>AO-02-TC-158</v>
      </c>
      <c r="B160" s="70" t="s">
        <v>1417</v>
      </c>
      <c r="C160" s="54" t="s">
        <v>331</v>
      </c>
      <c r="D160" s="70" t="s">
        <v>431</v>
      </c>
      <c r="E160" s="70" t="s">
        <v>436</v>
      </c>
      <c r="F160" s="55" t="s">
        <v>51</v>
      </c>
    </row>
    <row r="161">
      <c r="A161" s="53" t="str">
        <f t="shared" si="3"/>
        <v>AO-02-TC-159</v>
      </c>
      <c r="B161" s="70" t="s">
        <v>1418</v>
      </c>
      <c r="C161" s="54" t="s">
        <v>331</v>
      </c>
      <c r="D161" s="70" t="s">
        <v>431</v>
      </c>
      <c r="E161" s="70" t="s">
        <v>503</v>
      </c>
      <c r="F161" s="55" t="s">
        <v>51</v>
      </c>
      <c r="G161" s="80" t="s">
        <v>215</v>
      </c>
    </row>
    <row r="162">
      <c r="A162" s="53" t="str">
        <f t="shared" si="3"/>
        <v>AO-02-TC-160</v>
      </c>
      <c r="B162" s="70" t="s">
        <v>1419</v>
      </c>
      <c r="C162" s="54" t="s">
        <v>331</v>
      </c>
      <c r="D162" s="70" t="s">
        <v>431</v>
      </c>
      <c r="E162" s="70" t="s">
        <v>436</v>
      </c>
      <c r="F162" s="55" t="s">
        <v>51</v>
      </c>
      <c r="G162" s="80" t="s">
        <v>216</v>
      </c>
    </row>
    <row r="163">
      <c r="A163" s="53" t="str">
        <f t="shared" si="3"/>
        <v>AO-02-TC-161</v>
      </c>
      <c r="B163" s="70" t="s">
        <v>1420</v>
      </c>
      <c r="C163" s="54" t="s">
        <v>331</v>
      </c>
      <c r="D163" s="70" t="s">
        <v>431</v>
      </c>
      <c r="E163" s="70" t="s">
        <v>503</v>
      </c>
      <c r="F163" s="55" t="s">
        <v>51</v>
      </c>
      <c r="G163" s="80" t="s">
        <v>215</v>
      </c>
    </row>
    <row r="164">
      <c r="A164" s="53" t="str">
        <f t="shared" si="3"/>
        <v>AO-02-TC-162</v>
      </c>
      <c r="B164" s="70" t="s">
        <v>1421</v>
      </c>
      <c r="C164" s="54" t="s">
        <v>331</v>
      </c>
      <c r="D164" s="70" t="s">
        <v>431</v>
      </c>
      <c r="E164" s="70" t="s">
        <v>436</v>
      </c>
      <c r="F164" s="55" t="s">
        <v>53</v>
      </c>
    </row>
    <row r="165">
      <c r="A165" s="53" t="str">
        <f t="shared" si="3"/>
        <v>AO-02-TC-163</v>
      </c>
      <c r="B165" s="70" t="s">
        <v>1422</v>
      </c>
      <c r="C165" s="54" t="s">
        <v>331</v>
      </c>
      <c r="D165" s="70" t="s">
        <v>431</v>
      </c>
      <c r="E165" s="70" t="s">
        <v>503</v>
      </c>
      <c r="F165" s="55" t="s">
        <v>51</v>
      </c>
    </row>
    <row r="166">
      <c r="A166" s="53" t="str">
        <f t="shared" si="3"/>
        <v>AO-02-TC-164</v>
      </c>
      <c r="B166" s="70" t="s">
        <v>1423</v>
      </c>
      <c r="C166" s="54" t="s">
        <v>331</v>
      </c>
      <c r="D166" s="70" t="s">
        <v>431</v>
      </c>
      <c r="E166" s="70" t="s">
        <v>436</v>
      </c>
      <c r="F166" s="55" t="s">
        <v>51</v>
      </c>
    </row>
    <row r="167">
      <c r="A167" s="53" t="str">
        <f t="shared" si="3"/>
        <v>AO-02-TC-165</v>
      </c>
      <c r="B167" s="70" t="s">
        <v>1424</v>
      </c>
      <c r="C167" s="54" t="s">
        <v>331</v>
      </c>
      <c r="D167" s="70" t="s">
        <v>1425</v>
      </c>
      <c r="E167" s="70" t="s">
        <v>1415</v>
      </c>
      <c r="F167" s="55" t="s">
        <v>51</v>
      </c>
    </row>
    <row r="168">
      <c r="A168" s="53" t="str">
        <f t="shared" si="3"/>
        <v>AO-02-TC-166</v>
      </c>
      <c r="B168" s="70" t="s">
        <v>1426</v>
      </c>
      <c r="C168" s="54" t="s">
        <v>331</v>
      </c>
      <c r="D168" s="70" t="s">
        <v>431</v>
      </c>
      <c r="E168" s="70" t="s">
        <v>503</v>
      </c>
      <c r="F168" s="55" t="s">
        <v>51</v>
      </c>
    </row>
    <row r="169">
      <c r="A169" s="53" t="str">
        <f t="shared" si="3"/>
        <v>AO-02-TC-167</v>
      </c>
      <c r="B169" s="70" t="s">
        <v>1427</v>
      </c>
      <c r="C169" s="54" t="s">
        <v>331</v>
      </c>
      <c r="D169" s="70" t="s">
        <v>431</v>
      </c>
      <c r="E169" s="70" t="s">
        <v>436</v>
      </c>
      <c r="F169" s="55" t="s">
        <v>53</v>
      </c>
    </row>
    <row r="170">
      <c r="A170" s="53" t="str">
        <f t="shared" si="3"/>
        <v>AO-02-TC-168</v>
      </c>
      <c r="B170" s="70" t="s">
        <v>1428</v>
      </c>
      <c r="C170" s="54" t="s">
        <v>331</v>
      </c>
      <c r="D170" s="70" t="s">
        <v>431</v>
      </c>
      <c r="E170" s="70" t="s">
        <v>503</v>
      </c>
      <c r="F170" s="55" t="s">
        <v>53</v>
      </c>
    </row>
    <row r="171">
      <c r="A171" s="53" t="str">
        <f t="shared" si="3"/>
        <v>AO-02-TC-169</v>
      </c>
      <c r="B171" s="70" t="s">
        <v>1429</v>
      </c>
      <c r="C171" s="54" t="s">
        <v>331</v>
      </c>
      <c r="D171" s="70" t="s">
        <v>431</v>
      </c>
      <c r="E171" s="70" t="s">
        <v>436</v>
      </c>
      <c r="F171" s="55" t="s">
        <v>53</v>
      </c>
    </row>
    <row r="172">
      <c r="A172" s="53" t="str">
        <f t="shared" si="3"/>
        <v>AO-02-TC-170</v>
      </c>
      <c r="B172" s="70" t="s">
        <v>1430</v>
      </c>
      <c r="C172" s="54" t="s">
        <v>331</v>
      </c>
      <c r="D172" s="70" t="s">
        <v>431</v>
      </c>
      <c r="E172" s="70" t="s">
        <v>503</v>
      </c>
      <c r="F172" s="55" t="s">
        <v>51</v>
      </c>
      <c r="G172" s="80" t="s">
        <v>217</v>
      </c>
    </row>
    <row r="173">
      <c r="A173" s="53" t="str">
        <f t="shared" si="3"/>
        <v>AO-02-TC-171</v>
      </c>
      <c r="B173" s="70" t="s">
        <v>1431</v>
      </c>
      <c r="C173" s="54" t="s">
        <v>331</v>
      </c>
      <c r="D173" s="70" t="s">
        <v>431</v>
      </c>
      <c r="E173" s="70" t="s">
        <v>436</v>
      </c>
      <c r="F173" s="55" t="s">
        <v>51</v>
      </c>
      <c r="G173" s="80" t="s">
        <v>217</v>
      </c>
    </row>
    <row r="174">
      <c r="A174" s="150"/>
      <c r="B174" s="150"/>
      <c r="C174" s="150"/>
      <c r="D174" s="150"/>
      <c r="E174" s="150"/>
      <c r="F174" s="150"/>
      <c r="G174" s="150"/>
    </row>
    <row r="175">
      <c r="A175" s="150"/>
      <c r="B175" s="150"/>
      <c r="C175" s="150"/>
      <c r="D175" s="150"/>
      <c r="E175" s="150"/>
      <c r="F175" s="150"/>
      <c r="G175" s="150"/>
    </row>
    <row r="176">
      <c r="A176" s="150"/>
      <c r="B176" s="150"/>
      <c r="C176" s="150"/>
      <c r="D176" s="150"/>
      <c r="E176" s="150"/>
      <c r="F176" s="150"/>
      <c r="G176" s="150"/>
    </row>
    <row r="177">
      <c r="A177" s="150"/>
      <c r="B177" s="150"/>
      <c r="C177" s="150"/>
      <c r="D177" s="150"/>
      <c r="E177" s="150"/>
      <c r="F177" s="150"/>
      <c r="G177" s="150"/>
    </row>
    <row r="178">
      <c r="A178" s="150"/>
      <c r="B178" s="150"/>
      <c r="C178" s="150"/>
      <c r="D178" s="150"/>
      <c r="E178" s="150"/>
      <c r="F178" s="150"/>
      <c r="G178" s="150"/>
    </row>
    <row r="179">
      <c r="A179" s="150"/>
      <c r="B179" s="150"/>
      <c r="C179" s="150"/>
      <c r="D179" s="150"/>
      <c r="E179" s="150"/>
      <c r="F179" s="150"/>
      <c r="G179" s="150"/>
    </row>
  </sheetData>
  <dataValidations>
    <dataValidation type="list" allowBlank="1" sqref="F3:F155">
      <formula1>"OPEN,BLOCKED,PASSED,FAILED"</formula1>
    </dataValidation>
    <dataValidation type="list" allowBlank="1" sqref="F156:F173">
      <formula1>"OPEN,BLOCKED,PASSED,FAILED,REQUEST"</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4.75"/>
    <col customWidth="1" min="2" max="2" width="61.13"/>
    <col customWidth="1" min="3" max="3" width="50.13"/>
    <col customWidth="1" min="4" max="4" width="48.38"/>
    <col customWidth="1" min="5" max="5" width="56.63"/>
    <col customWidth="1" min="6" max="6" width="21.63"/>
    <col customWidth="1" min="7" max="7" width="22.75"/>
  </cols>
  <sheetData>
    <row r="1">
      <c r="A1" s="47" t="s">
        <v>49</v>
      </c>
      <c r="B1" s="97" t="s">
        <v>1432</v>
      </c>
      <c r="C1" s="49"/>
      <c r="D1" s="49"/>
      <c r="E1" s="49"/>
      <c r="F1" s="49"/>
      <c r="G1" s="49"/>
      <c r="H1" s="50"/>
      <c r="I1" s="50"/>
      <c r="J1" s="50"/>
      <c r="K1" s="50"/>
      <c r="L1" s="50"/>
      <c r="M1" s="50"/>
      <c r="N1" s="50"/>
      <c r="O1" s="50"/>
      <c r="P1" s="50"/>
      <c r="Q1" s="50"/>
      <c r="R1" s="50"/>
      <c r="S1" s="50"/>
      <c r="T1" s="50"/>
      <c r="U1" s="50"/>
      <c r="V1" s="50"/>
      <c r="W1" s="50"/>
      <c r="X1" s="50"/>
      <c r="Y1" s="50"/>
      <c r="Z1" s="50"/>
    </row>
    <row r="2">
      <c r="A2" s="51" t="s">
        <v>14</v>
      </c>
      <c r="B2" s="51" t="s">
        <v>16</v>
      </c>
      <c r="C2" s="52" t="s">
        <v>18</v>
      </c>
      <c r="D2" s="52" t="s">
        <v>20</v>
      </c>
      <c r="E2" s="52" t="s">
        <v>219</v>
      </c>
      <c r="F2" s="52" t="s">
        <v>24</v>
      </c>
      <c r="G2" s="52" t="s">
        <v>26</v>
      </c>
      <c r="H2" s="50"/>
      <c r="I2" s="50"/>
      <c r="J2" s="50"/>
      <c r="K2" s="50"/>
      <c r="L2" s="50"/>
      <c r="M2" s="50"/>
      <c r="N2" s="50"/>
      <c r="O2" s="50"/>
      <c r="P2" s="50"/>
      <c r="Q2" s="50"/>
      <c r="R2" s="50"/>
      <c r="S2" s="50"/>
      <c r="T2" s="50"/>
      <c r="U2" s="50"/>
      <c r="V2" s="50"/>
      <c r="W2" s="50"/>
      <c r="X2" s="50"/>
      <c r="Y2" s="50"/>
      <c r="Z2" s="50"/>
    </row>
    <row r="3">
      <c r="A3" s="53" t="str">
        <f t="shared" ref="A3:A31" si="1">IF(B1&lt;&gt;"", "AO-03-TC-" &amp; TEXT(COUNTA($B$3:B3), "00"), "")
</f>
        <v>AO-03-TC-01</v>
      </c>
      <c r="B3" s="54" t="s">
        <v>1433</v>
      </c>
      <c r="C3" s="54" t="s">
        <v>1434</v>
      </c>
      <c r="D3" s="54" t="s">
        <v>1435</v>
      </c>
      <c r="E3" s="55" t="s">
        <v>1436</v>
      </c>
      <c r="F3" s="55" t="s">
        <v>51</v>
      </c>
      <c r="G3" s="55" t="s">
        <v>1437</v>
      </c>
      <c r="H3" s="50"/>
      <c r="I3" s="50"/>
      <c r="J3" s="50"/>
      <c r="K3" s="50"/>
      <c r="L3" s="50"/>
      <c r="M3" s="50"/>
      <c r="N3" s="50"/>
      <c r="O3" s="50"/>
      <c r="P3" s="50"/>
      <c r="Q3" s="50"/>
      <c r="R3" s="50"/>
      <c r="S3" s="50"/>
      <c r="T3" s="50"/>
      <c r="U3" s="50"/>
      <c r="V3" s="50"/>
      <c r="W3" s="50"/>
      <c r="X3" s="50"/>
      <c r="Y3" s="50"/>
      <c r="Z3" s="50"/>
    </row>
    <row r="4">
      <c r="A4" s="53" t="str">
        <f t="shared" si="1"/>
        <v>AO-03-TC-02</v>
      </c>
      <c r="B4" s="54" t="s">
        <v>1438</v>
      </c>
      <c r="C4" s="54" t="s">
        <v>1434</v>
      </c>
      <c r="D4" s="54" t="s">
        <v>1439</v>
      </c>
      <c r="E4" s="55" t="s">
        <v>1440</v>
      </c>
      <c r="F4" s="55" t="s">
        <v>53</v>
      </c>
      <c r="G4" s="55"/>
      <c r="H4" s="50"/>
      <c r="I4" s="50"/>
      <c r="J4" s="50"/>
      <c r="K4" s="50"/>
      <c r="L4" s="50"/>
      <c r="M4" s="50"/>
      <c r="N4" s="50"/>
      <c r="O4" s="50"/>
      <c r="P4" s="50"/>
      <c r="Q4" s="50"/>
      <c r="R4" s="50"/>
      <c r="S4" s="50"/>
      <c r="T4" s="50"/>
      <c r="U4" s="50"/>
      <c r="V4" s="50"/>
      <c r="W4" s="50"/>
      <c r="X4" s="50"/>
      <c r="Y4" s="50"/>
      <c r="Z4" s="50"/>
    </row>
    <row r="5">
      <c r="A5" s="53" t="str">
        <f t="shared" si="1"/>
        <v>AO-03-TC-03</v>
      </c>
      <c r="B5" s="140" t="s">
        <v>1441</v>
      </c>
      <c r="C5" s="54" t="s">
        <v>1434</v>
      </c>
      <c r="D5" s="140" t="s">
        <v>1442</v>
      </c>
      <c r="E5" s="141" t="s">
        <v>1443</v>
      </c>
      <c r="F5" s="55" t="s">
        <v>53</v>
      </c>
      <c r="G5" s="141"/>
      <c r="H5" s="50"/>
      <c r="I5" s="50"/>
      <c r="J5" s="50"/>
      <c r="K5" s="50"/>
      <c r="L5" s="50"/>
      <c r="M5" s="50"/>
      <c r="N5" s="50"/>
      <c r="O5" s="50"/>
      <c r="P5" s="50"/>
      <c r="Q5" s="50"/>
      <c r="R5" s="50"/>
      <c r="S5" s="50"/>
      <c r="T5" s="50"/>
      <c r="U5" s="50"/>
      <c r="V5" s="50"/>
      <c r="W5" s="50"/>
      <c r="X5" s="50"/>
      <c r="Y5" s="50"/>
      <c r="Z5" s="50"/>
    </row>
    <row r="6">
      <c r="A6" s="53" t="str">
        <f t="shared" si="1"/>
        <v>AO-03-TC-04</v>
      </c>
      <c r="B6" s="53" t="s">
        <v>1444</v>
      </c>
      <c r="C6" s="54" t="s">
        <v>1434</v>
      </c>
      <c r="D6" s="54" t="s">
        <v>1445</v>
      </c>
      <c r="E6" s="55" t="s">
        <v>1446</v>
      </c>
      <c r="F6" s="55" t="s">
        <v>53</v>
      </c>
      <c r="G6" s="56"/>
      <c r="H6" s="50"/>
      <c r="I6" s="50"/>
      <c r="J6" s="50"/>
      <c r="K6" s="50"/>
      <c r="L6" s="50"/>
      <c r="M6" s="50"/>
      <c r="N6" s="50"/>
      <c r="O6" s="50"/>
      <c r="P6" s="50"/>
      <c r="Q6" s="50"/>
      <c r="R6" s="50"/>
      <c r="S6" s="50"/>
      <c r="T6" s="50"/>
      <c r="U6" s="50"/>
      <c r="V6" s="50"/>
      <c r="W6" s="50"/>
      <c r="X6" s="50"/>
      <c r="Y6" s="50"/>
      <c r="Z6" s="50"/>
    </row>
    <row r="7">
      <c r="A7" s="53" t="str">
        <f t="shared" si="1"/>
        <v>AO-03-TC-05</v>
      </c>
      <c r="B7" s="53" t="s">
        <v>1447</v>
      </c>
      <c r="C7" s="54" t="s">
        <v>1434</v>
      </c>
      <c r="D7" s="54" t="s">
        <v>1448</v>
      </c>
      <c r="E7" s="55" t="s">
        <v>1449</v>
      </c>
      <c r="F7" s="55" t="s">
        <v>53</v>
      </c>
      <c r="G7" s="56"/>
      <c r="H7" s="50"/>
      <c r="I7" s="50"/>
      <c r="J7" s="50"/>
      <c r="K7" s="50"/>
      <c r="L7" s="50"/>
      <c r="M7" s="50"/>
      <c r="N7" s="50"/>
      <c r="O7" s="50"/>
      <c r="P7" s="50"/>
      <c r="Q7" s="50"/>
      <c r="R7" s="50"/>
      <c r="S7" s="50"/>
      <c r="T7" s="50"/>
      <c r="U7" s="50"/>
      <c r="V7" s="50"/>
      <c r="W7" s="50"/>
      <c r="X7" s="50"/>
      <c r="Y7" s="50"/>
      <c r="Z7" s="50"/>
    </row>
    <row r="8">
      <c r="A8" s="53" t="str">
        <f t="shared" si="1"/>
        <v>AO-03-TC-06</v>
      </c>
      <c r="B8" s="64" t="s">
        <v>1450</v>
      </c>
      <c r="C8" s="54" t="s">
        <v>1434</v>
      </c>
      <c r="D8" s="54" t="s">
        <v>1451</v>
      </c>
      <c r="E8" s="55" t="s">
        <v>1452</v>
      </c>
      <c r="F8" s="55" t="s">
        <v>53</v>
      </c>
      <c r="G8" s="56"/>
      <c r="H8" s="50"/>
      <c r="I8" s="50"/>
      <c r="J8" s="50"/>
      <c r="K8" s="50"/>
      <c r="L8" s="50"/>
      <c r="M8" s="50"/>
      <c r="N8" s="50"/>
      <c r="O8" s="50"/>
      <c r="P8" s="50"/>
      <c r="Q8" s="50"/>
      <c r="R8" s="50"/>
      <c r="S8" s="50"/>
      <c r="T8" s="50"/>
      <c r="U8" s="50"/>
      <c r="V8" s="50"/>
      <c r="W8" s="50"/>
      <c r="X8" s="50"/>
      <c r="Y8" s="50"/>
      <c r="Z8" s="50"/>
    </row>
    <row r="9">
      <c r="A9" s="53" t="str">
        <f t="shared" si="1"/>
        <v>AO-03-TC-07</v>
      </c>
      <c r="B9" s="53" t="s">
        <v>1453</v>
      </c>
      <c r="C9" s="54" t="s">
        <v>1434</v>
      </c>
      <c r="D9" s="54" t="s">
        <v>1454</v>
      </c>
      <c r="E9" s="55" t="s">
        <v>1455</v>
      </c>
      <c r="F9" s="55" t="s">
        <v>53</v>
      </c>
      <c r="G9" s="56"/>
      <c r="H9" s="50"/>
      <c r="I9" s="50"/>
      <c r="J9" s="50"/>
      <c r="K9" s="50"/>
      <c r="L9" s="50"/>
      <c r="M9" s="50"/>
      <c r="N9" s="50"/>
      <c r="O9" s="50"/>
      <c r="P9" s="50"/>
      <c r="Q9" s="50"/>
      <c r="R9" s="50"/>
      <c r="S9" s="50"/>
      <c r="T9" s="50"/>
      <c r="U9" s="50"/>
      <c r="V9" s="50"/>
      <c r="W9" s="50"/>
      <c r="X9" s="50"/>
      <c r="Y9" s="50"/>
      <c r="Z9" s="50"/>
    </row>
    <row r="10">
      <c r="A10" s="53" t="str">
        <f t="shared" si="1"/>
        <v>AO-03-TC-08</v>
      </c>
      <c r="B10" s="53" t="s">
        <v>1456</v>
      </c>
      <c r="C10" s="54" t="s">
        <v>1434</v>
      </c>
      <c r="D10" s="54" t="s">
        <v>1457</v>
      </c>
      <c r="E10" s="55" t="s">
        <v>1455</v>
      </c>
      <c r="F10" s="55" t="s">
        <v>50</v>
      </c>
      <c r="G10" s="55"/>
      <c r="H10" s="50"/>
      <c r="I10" s="50"/>
      <c r="J10" s="50"/>
      <c r="K10" s="50"/>
      <c r="L10" s="50"/>
      <c r="M10" s="50"/>
      <c r="N10" s="50"/>
      <c r="O10" s="50"/>
      <c r="P10" s="50"/>
      <c r="Q10" s="50"/>
      <c r="R10" s="50"/>
      <c r="S10" s="50"/>
      <c r="T10" s="50"/>
      <c r="U10" s="50"/>
      <c r="V10" s="50"/>
      <c r="W10" s="50"/>
      <c r="X10" s="50"/>
      <c r="Y10" s="50"/>
      <c r="Z10" s="50"/>
    </row>
    <row r="11">
      <c r="A11" s="53" t="str">
        <f t="shared" si="1"/>
        <v>AO-03-TC-09</v>
      </c>
      <c r="B11" s="53" t="s">
        <v>1458</v>
      </c>
      <c r="C11" s="54" t="s">
        <v>1434</v>
      </c>
      <c r="D11" s="54" t="s">
        <v>1459</v>
      </c>
      <c r="E11" s="55" t="s">
        <v>1455</v>
      </c>
      <c r="F11" s="55" t="s">
        <v>50</v>
      </c>
      <c r="G11" s="55"/>
      <c r="H11" s="50"/>
      <c r="I11" s="50"/>
      <c r="J11" s="50"/>
      <c r="K11" s="50"/>
      <c r="L11" s="50"/>
      <c r="M11" s="50"/>
      <c r="N11" s="50"/>
      <c r="O11" s="50"/>
      <c r="P11" s="50"/>
      <c r="Q11" s="50"/>
      <c r="R11" s="50"/>
      <c r="S11" s="50"/>
      <c r="T11" s="50"/>
      <c r="U11" s="50"/>
      <c r="V11" s="50"/>
      <c r="W11" s="50"/>
      <c r="X11" s="50"/>
      <c r="Y11" s="50"/>
      <c r="Z11" s="50"/>
    </row>
    <row r="12">
      <c r="A12" s="53" t="str">
        <f t="shared" si="1"/>
        <v>AO-03-TC-10</v>
      </c>
      <c r="B12" s="53" t="s">
        <v>1460</v>
      </c>
      <c r="C12" s="54" t="s">
        <v>1434</v>
      </c>
      <c r="D12" s="54" t="s">
        <v>1461</v>
      </c>
      <c r="E12" s="55" t="s">
        <v>1455</v>
      </c>
      <c r="F12" s="55" t="s">
        <v>50</v>
      </c>
      <c r="G12" s="56"/>
      <c r="H12" s="50"/>
      <c r="I12" s="50"/>
      <c r="J12" s="50"/>
      <c r="K12" s="50"/>
      <c r="L12" s="50"/>
      <c r="M12" s="50"/>
      <c r="N12" s="50"/>
      <c r="O12" s="50"/>
      <c r="P12" s="50"/>
      <c r="Q12" s="50"/>
      <c r="R12" s="50"/>
      <c r="S12" s="50"/>
      <c r="T12" s="50"/>
      <c r="U12" s="50"/>
      <c r="V12" s="50"/>
      <c r="W12" s="50"/>
      <c r="X12" s="50"/>
      <c r="Y12" s="50"/>
      <c r="Z12" s="50"/>
    </row>
    <row r="13">
      <c r="A13" s="53" t="str">
        <f t="shared" si="1"/>
        <v>AO-03-TC-11</v>
      </c>
      <c r="B13" s="53" t="s">
        <v>1462</v>
      </c>
      <c r="C13" s="54" t="s">
        <v>1434</v>
      </c>
      <c r="D13" s="54" t="s">
        <v>1463</v>
      </c>
      <c r="E13" s="55" t="s">
        <v>1455</v>
      </c>
      <c r="F13" s="55" t="s">
        <v>50</v>
      </c>
      <c r="G13" s="56"/>
      <c r="H13" s="50"/>
      <c r="I13" s="50"/>
      <c r="J13" s="50"/>
      <c r="K13" s="50"/>
      <c r="L13" s="50"/>
      <c r="M13" s="50"/>
      <c r="N13" s="50"/>
      <c r="O13" s="50"/>
      <c r="P13" s="50"/>
      <c r="Q13" s="50"/>
      <c r="R13" s="50"/>
      <c r="S13" s="50"/>
      <c r="T13" s="50"/>
      <c r="U13" s="50"/>
      <c r="V13" s="50"/>
      <c r="W13" s="50"/>
      <c r="X13" s="50"/>
      <c r="Y13" s="50"/>
      <c r="Z13" s="50"/>
    </row>
    <row r="14">
      <c r="A14" s="53" t="str">
        <f t="shared" si="1"/>
        <v>AO-03-TC-12</v>
      </c>
      <c r="B14" s="53" t="s">
        <v>1464</v>
      </c>
      <c r="C14" s="54" t="s">
        <v>1434</v>
      </c>
      <c r="D14" s="54" t="s">
        <v>1465</v>
      </c>
      <c r="E14" s="55" t="s">
        <v>1455</v>
      </c>
      <c r="F14" s="55" t="s">
        <v>50</v>
      </c>
      <c r="G14" s="56"/>
      <c r="H14" s="50"/>
      <c r="I14" s="50"/>
      <c r="J14" s="50"/>
      <c r="K14" s="50"/>
      <c r="L14" s="50"/>
      <c r="M14" s="50"/>
      <c r="N14" s="50"/>
      <c r="O14" s="50"/>
      <c r="P14" s="50"/>
      <c r="Q14" s="50"/>
      <c r="R14" s="50"/>
      <c r="S14" s="50"/>
      <c r="T14" s="50"/>
      <c r="U14" s="50"/>
      <c r="V14" s="50"/>
      <c r="W14" s="50"/>
      <c r="X14" s="50"/>
      <c r="Y14" s="50"/>
      <c r="Z14" s="50"/>
    </row>
    <row r="15">
      <c r="A15" s="53" t="str">
        <f t="shared" si="1"/>
        <v>AO-03-TC-13</v>
      </c>
      <c r="B15" s="53" t="s">
        <v>1466</v>
      </c>
      <c r="C15" s="54" t="s">
        <v>1434</v>
      </c>
      <c r="D15" s="54" t="s">
        <v>1467</v>
      </c>
      <c r="E15" s="55" t="s">
        <v>1455</v>
      </c>
      <c r="F15" s="55" t="s">
        <v>50</v>
      </c>
      <c r="G15" s="56"/>
      <c r="H15" s="50"/>
      <c r="I15" s="50"/>
      <c r="J15" s="50"/>
      <c r="K15" s="50"/>
      <c r="L15" s="50"/>
      <c r="M15" s="50"/>
      <c r="N15" s="50"/>
      <c r="O15" s="50"/>
      <c r="P15" s="50"/>
      <c r="Q15" s="50"/>
      <c r="R15" s="50"/>
      <c r="S15" s="50"/>
      <c r="T15" s="50"/>
      <c r="U15" s="50"/>
      <c r="V15" s="50"/>
      <c r="W15" s="50"/>
      <c r="X15" s="50"/>
      <c r="Y15" s="50"/>
      <c r="Z15" s="50"/>
    </row>
    <row r="16">
      <c r="A16" s="53" t="str">
        <f t="shared" si="1"/>
        <v>AO-03-TC-14</v>
      </c>
      <c r="B16" s="53" t="s">
        <v>1468</v>
      </c>
      <c r="C16" s="54" t="s">
        <v>1434</v>
      </c>
      <c r="D16" s="54" t="s">
        <v>1469</v>
      </c>
      <c r="E16" s="55" t="s">
        <v>1455</v>
      </c>
      <c r="F16" s="55" t="s">
        <v>50</v>
      </c>
      <c r="G16" s="56"/>
      <c r="H16" s="50"/>
      <c r="I16" s="50"/>
      <c r="J16" s="50"/>
      <c r="K16" s="50"/>
      <c r="L16" s="50"/>
      <c r="M16" s="50"/>
      <c r="N16" s="50"/>
      <c r="O16" s="50"/>
      <c r="P16" s="50"/>
      <c r="Q16" s="50"/>
      <c r="R16" s="50"/>
      <c r="S16" s="50"/>
      <c r="T16" s="50"/>
      <c r="U16" s="50"/>
      <c r="V16" s="50"/>
      <c r="W16" s="50"/>
      <c r="X16" s="50"/>
      <c r="Y16" s="50"/>
      <c r="Z16" s="50"/>
    </row>
    <row r="17">
      <c r="A17" s="53" t="str">
        <f t="shared" si="1"/>
        <v>AO-03-TC-15</v>
      </c>
      <c r="B17" s="53" t="s">
        <v>1470</v>
      </c>
      <c r="C17" s="54" t="s">
        <v>1434</v>
      </c>
      <c r="D17" s="54" t="s">
        <v>1471</v>
      </c>
      <c r="E17" s="55" t="s">
        <v>1455</v>
      </c>
      <c r="F17" s="55" t="s">
        <v>50</v>
      </c>
      <c r="G17" s="56"/>
      <c r="H17" s="50"/>
      <c r="I17" s="50"/>
      <c r="J17" s="50"/>
      <c r="K17" s="50"/>
      <c r="L17" s="50"/>
      <c r="M17" s="50"/>
      <c r="N17" s="50"/>
      <c r="O17" s="50"/>
      <c r="P17" s="50"/>
      <c r="Q17" s="50"/>
      <c r="R17" s="50"/>
      <c r="S17" s="50"/>
      <c r="T17" s="50"/>
      <c r="U17" s="50"/>
      <c r="V17" s="50"/>
      <c r="W17" s="50"/>
      <c r="X17" s="50"/>
      <c r="Y17" s="50"/>
      <c r="Z17" s="50"/>
    </row>
    <row r="18">
      <c r="A18" s="53" t="str">
        <f t="shared" si="1"/>
        <v>AO-03-TC-16</v>
      </c>
      <c r="B18" s="53" t="s">
        <v>1472</v>
      </c>
      <c r="C18" s="54" t="s">
        <v>1434</v>
      </c>
      <c r="D18" s="54" t="s">
        <v>1473</v>
      </c>
      <c r="E18" s="55" t="s">
        <v>1455</v>
      </c>
      <c r="F18" s="55" t="s">
        <v>50</v>
      </c>
      <c r="G18" s="56"/>
      <c r="H18" s="50"/>
      <c r="I18" s="50"/>
      <c r="J18" s="50"/>
      <c r="K18" s="50"/>
      <c r="L18" s="50"/>
      <c r="M18" s="50"/>
      <c r="N18" s="50"/>
      <c r="O18" s="50"/>
      <c r="P18" s="50"/>
      <c r="Q18" s="50"/>
      <c r="R18" s="50"/>
      <c r="S18" s="50"/>
      <c r="T18" s="50"/>
      <c r="U18" s="50"/>
      <c r="V18" s="50"/>
      <c r="W18" s="50"/>
      <c r="X18" s="50"/>
      <c r="Y18" s="50"/>
      <c r="Z18" s="50"/>
    </row>
    <row r="19">
      <c r="A19" s="53" t="str">
        <f t="shared" si="1"/>
        <v>AO-03-TC-17</v>
      </c>
      <c r="B19" s="53" t="s">
        <v>1474</v>
      </c>
      <c r="C19" s="54" t="s">
        <v>1434</v>
      </c>
      <c r="D19" s="54" t="s">
        <v>1475</v>
      </c>
      <c r="E19" s="55" t="s">
        <v>1455</v>
      </c>
      <c r="F19" s="55" t="s">
        <v>50</v>
      </c>
      <c r="G19" s="56"/>
      <c r="H19" s="50"/>
      <c r="I19" s="50"/>
      <c r="J19" s="50"/>
      <c r="K19" s="50"/>
      <c r="L19" s="50"/>
      <c r="M19" s="50"/>
      <c r="N19" s="50"/>
      <c r="O19" s="50"/>
      <c r="P19" s="50"/>
      <c r="Q19" s="50"/>
      <c r="R19" s="50"/>
      <c r="S19" s="50"/>
      <c r="T19" s="50"/>
      <c r="U19" s="50"/>
      <c r="V19" s="50"/>
      <c r="W19" s="50"/>
      <c r="X19" s="50"/>
      <c r="Y19" s="50"/>
      <c r="Z19" s="50"/>
    </row>
    <row r="20">
      <c r="A20" s="53" t="str">
        <f t="shared" si="1"/>
        <v>AO-03-TC-18</v>
      </c>
      <c r="B20" s="53" t="s">
        <v>1476</v>
      </c>
      <c r="C20" s="54" t="s">
        <v>1434</v>
      </c>
      <c r="D20" s="54" t="s">
        <v>1477</v>
      </c>
      <c r="E20" s="55" t="s">
        <v>1455</v>
      </c>
      <c r="F20" s="55" t="s">
        <v>50</v>
      </c>
      <c r="G20" s="56"/>
      <c r="H20" s="50"/>
      <c r="I20" s="50"/>
      <c r="J20" s="50"/>
      <c r="K20" s="50"/>
      <c r="L20" s="50"/>
      <c r="M20" s="50"/>
      <c r="N20" s="50"/>
      <c r="O20" s="50"/>
      <c r="P20" s="50"/>
      <c r="Q20" s="50"/>
      <c r="R20" s="50"/>
      <c r="S20" s="50"/>
      <c r="T20" s="50"/>
      <c r="U20" s="50"/>
      <c r="V20" s="50"/>
      <c r="W20" s="50"/>
      <c r="X20" s="50"/>
      <c r="Y20" s="50"/>
      <c r="Z20" s="50"/>
    </row>
    <row r="21">
      <c r="A21" s="53" t="str">
        <f t="shared" si="1"/>
        <v>AO-03-TC-19</v>
      </c>
      <c r="B21" s="64" t="s">
        <v>1478</v>
      </c>
      <c r="C21" s="54" t="s">
        <v>1434</v>
      </c>
      <c r="D21" s="54" t="s">
        <v>1479</v>
      </c>
      <c r="E21" s="55" t="s">
        <v>1455</v>
      </c>
      <c r="F21" s="55" t="s">
        <v>50</v>
      </c>
      <c r="G21" s="56"/>
      <c r="H21" s="50"/>
      <c r="I21" s="50"/>
      <c r="J21" s="50"/>
      <c r="K21" s="50"/>
      <c r="L21" s="50"/>
      <c r="M21" s="50"/>
      <c r="N21" s="50"/>
      <c r="O21" s="50"/>
      <c r="P21" s="50"/>
      <c r="Q21" s="50"/>
      <c r="R21" s="50"/>
      <c r="S21" s="50"/>
      <c r="T21" s="50"/>
      <c r="U21" s="50"/>
      <c r="V21" s="50"/>
      <c r="W21" s="50"/>
      <c r="X21" s="50"/>
      <c r="Y21" s="50"/>
      <c r="Z21" s="50"/>
    </row>
    <row r="22">
      <c r="A22" s="53" t="str">
        <f t="shared" si="1"/>
        <v>AO-03-TC-20</v>
      </c>
      <c r="B22" s="53" t="s">
        <v>1480</v>
      </c>
      <c r="C22" s="54" t="s">
        <v>1434</v>
      </c>
      <c r="D22" s="54" t="s">
        <v>1481</v>
      </c>
      <c r="E22" s="55" t="s">
        <v>1455</v>
      </c>
      <c r="F22" s="55" t="s">
        <v>50</v>
      </c>
      <c r="G22" s="56"/>
      <c r="H22" s="50"/>
      <c r="I22" s="50"/>
      <c r="J22" s="50"/>
      <c r="K22" s="50"/>
      <c r="L22" s="50"/>
      <c r="M22" s="50"/>
      <c r="N22" s="50"/>
      <c r="O22" s="50"/>
      <c r="P22" s="50"/>
      <c r="Q22" s="50"/>
      <c r="R22" s="50"/>
      <c r="S22" s="50"/>
      <c r="T22" s="50"/>
      <c r="U22" s="50"/>
      <c r="V22" s="50"/>
      <c r="W22" s="50"/>
      <c r="X22" s="50"/>
      <c r="Y22" s="50"/>
      <c r="Z22" s="50"/>
    </row>
    <row r="23">
      <c r="A23" s="53" t="str">
        <f t="shared" si="1"/>
        <v>AO-03-TC-21</v>
      </c>
      <c r="B23" s="53" t="s">
        <v>1482</v>
      </c>
      <c r="C23" s="54" t="s">
        <v>1434</v>
      </c>
      <c r="D23" s="54" t="s">
        <v>1483</v>
      </c>
      <c r="E23" s="55" t="s">
        <v>1455</v>
      </c>
      <c r="F23" s="55" t="s">
        <v>50</v>
      </c>
      <c r="G23" s="56"/>
      <c r="H23" s="50"/>
      <c r="I23" s="50"/>
      <c r="J23" s="50"/>
      <c r="K23" s="50"/>
      <c r="L23" s="50"/>
      <c r="M23" s="50"/>
      <c r="N23" s="50"/>
      <c r="O23" s="50"/>
      <c r="P23" s="50"/>
      <c r="Q23" s="50"/>
      <c r="R23" s="50"/>
      <c r="S23" s="50"/>
      <c r="T23" s="50"/>
      <c r="U23" s="50"/>
      <c r="V23" s="50"/>
      <c r="W23" s="50"/>
      <c r="X23" s="50"/>
      <c r="Y23" s="50"/>
      <c r="Z23" s="50"/>
    </row>
    <row r="24">
      <c r="A24" s="53" t="str">
        <f t="shared" si="1"/>
        <v>AO-03-TC-22</v>
      </c>
      <c r="B24" s="53" t="s">
        <v>1484</v>
      </c>
      <c r="C24" s="54" t="s">
        <v>1434</v>
      </c>
      <c r="D24" s="54" t="s">
        <v>1485</v>
      </c>
      <c r="E24" s="55" t="s">
        <v>1455</v>
      </c>
      <c r="F24" s="55" t="s">
        <v>50</v>
      </c>
      <c r="G24" s="56"/>
      <c r="H24" s="50"/>
      <c r="I24" s="50"/>
      <c r="J24" s="50"/>
      <c r="K24" s="50"/>
      <c r="L24" s="50"/>
      <c r="M24" s="50"/>
      <c r="N24" s="50"/>
      <c r="O24" s="50"/>
      <c r="P24" s="50"/>
      <c r="Q24" s="50"/>
      <c r="R24" s="50"/>
      <c r="S24" s="50"/>
      <c r="T24" s="50"/>
      <c r="U24" s="50"/>
      <c r="V24" s="50"/>
      <c r="W24" s="50"/>
      <c r="X24" s="50"/>
      <c r="Y24" s="50"/>
      <c r="Z24" s="50"/>
    </row>
    <row r="25">
      <c r="A25" s="53" t="str">
        <f t="shared" si="1"/>
        <v>AO-03-TC-23</v>
      </c>
      <c r="B25" s="53" t="s">
        <v>1486</v>
      </c>
      <c r="C25" s="54" t="s">
        <v>1434</v>
      </c>
      <c r="D25" s="54" t="s">
        <v>1487</v>
      </c>
      <c r="E25" s="55" t="s">
        <v>1455</v>
      </c>
      <c r="F25" s="55" t="s">
        <v>50</v>
      </c>
      <c r="G25" s="56"/>
      <c r="H25" s="50"/>
      <c r="I25" s="50"/>
      <c r="J25" s="50"/>
      <c r="K25" s="50"/>
      <c r="L25" s="50"/>
      <c r="M25" s="50"/>
      <c r="N25" s="50"/>
      <c r="O25" s="50"/>
      <c r="P25" s="50"/>
      <c r="Q25" s="50"/>
      <c r="R25" s="50"/>
      <c r="S25" s="50"/>
      <c r="T25" s="50"/>
      <c r="U25" s="50"/>
      <c r="V25" s="50"/>
      <c r="W25" s="50"/>
      <c r="X25" s="50"/>
      <c r="Y25" s="50"/>
      <c r="Z25" s="50"/>
    </row>
    <row r="26">
      <c r="A26" s="53" t="str">
        <f t="shared" si="1"/>
        <v>AO-03-TC-24</v>
      </c>
      <c r="B26" s="53" t="s">
        <v>1488</v>
      </c>
      <c r="C26" s="54" t="s">
        <v>1434</v>
      </c>
      <c r="D26" s="54" t="s">
        <v>1489</v>
      </c>
      <c r="E26" s="55" t="s">
        <v>1455</v>
      </c>
      <c r="F26" s="55" t="s">
        <v>50</v>
      </c>
      <c r="G26" s="56"/>
      <c r="H26" s="50"/>
      <c r="I26" s="50"/>
      <c r="J26" s="50"/>
      <c r="K26" s="50"/>
      <c r="L26" s="50"/>
      <c r="M26" s="50"/>
      <c r="N26" s="50"/>
      <c r="O26" s="50"/>
      <c r="P26" s="50"/>
      <c r="Q26" s="50"/>
      <c r="R26" s="50"/>
      <c r="S26" s="50"/>
      <c r="T26" s="50"/>
      <c r="U26" s="50"/>
      <c r="V26" s="50"/>
      <c r="W26" s="50"/>
      <c r="X26" s="50"/>
      <c r="Y26" s="50"/>
      <c r="Z26" s="50"/>
    </row>
    <row r="27">
      <c r="A27" s="53" t="str">
        <f t="shared" si="1"/>
        <v>AO-03-TC-25</v>
      </c>
      <c r="B27" s="53" t="s">
        <v>1490</v>
      </c>
      <c r="C27" s="54" t="s">
        <v>1434</v>
      </c>
      <c r="D27" s="54" t="s">
        <v>1491</v>
      </c>
      <c r="E27" s="55" t="s">
        <v>1455</v>
      </c>
      <c r="F27" s="55" t="s">
        <v>50</v>
      </c>
      <c r="G27" s="56"/>
      <c r="H27" s="50"/>
      <c r="I27" s="50"/>
      <c r="J27" s="50"/>
      <c r="K27" s="50"/>
      <c r="L27" s="50"/>
      <c r="M27" s="50"/>
      <c r="N27" s="50"/>
      <c r="O27" s="50"/>
      <c r="P27" s="50"/>
      <c r="Q27" s="50"/>
      <c r="R27" s="50"/>
      <c r="S27" s="50"/>
      <c r="T27" s="50"/>
      <c r="U27" s="50"/>
      <c r="V27" s="50"/>
      <c r="W27" s="50"/>
      <c r="X27" s="50"/>
      <c r="Y27" s="50"/>
      <c r="Z27" s="50"/>
    </row>
    <row r="28">
      <c r="A28" s="53" t="str">
        <f t="shared" si="1"/>
        <v>AO-03-TC-26</v>
      </c>
      <c r="B28" s="53" t="s">
        <v>1492</v>
      </c>
      <c r="C28" s="54" t="s">
        <v>1434</v>
      </c>
      <c r="D28" s="54" t="s">
        <v>1493</v>
      </c>
      <c r="E28" s="55" t="s">
        <v>1455</v>
      </c>
      <c r="F28" s="55" t="s">
        <v>50</v>
      </c>
      <c r="G28" s="56"/>
      <c r="H28" s="50"/>
      <c r="I28" s="50"/>
      <c r="J28" s="50"/>
      <c r="K28" s="50"/>
      <c r="L28" s="50"/>
      <c r="M28" s="50"/>
      <c r="N28" s="50"/>
      <c r="O28" s="50"/>
      <c r="P28" s="50"/>
      <c r="Q28" s="50"/>
      <c r="R28" s="50"/>
      <c r="S28" s="50"/>
      <c r="T28" s="50"/>
      <c r="U28" s="50"/>
      <c r="V28" s="50"/>
      <c r="W28" s="50"/>
      <c r="X28" s="50"/>
      <c r="Y28" s="50"/>
      <c r="Z28" s="50"/>
    </row>
    <row r="29">
      <c r="A29" s="53" t="str">
        <f t="shared" si="1"/>
        <v>AO-03-TC-27</v>
      </c>
      <c r="B29" s="53" t="s">
        <v>1494</v>
      </c>
      <c r="C29" s="54" t="s">
        <v>1434</v>
      </c>
      <c r="D29" s="54" t="s">
        <v>1495</v>
      </c>
      <c r="E29" s="55" t="s">
        <v>1455</v>
      </c>
      <c r="F29" s="55" t="s">
        <v>50</v>
      </c>
      <c r="G29" s="56"/>
      <c r="H29" s="50"/>
      <c r="I29" s="50"/>
      <c r="J29" s="50"/>
      <c r="K29" s="50"/>
      <c r="L29" s="50"/>
      <c r="M29" s="50"/>
      <c r="N29" s="50"/>
      <c r="O29" s="50"/>
      <c r="P29" s="50"/>
      <c r="Q29" s="50"/>
      <c r="R29" s="50"/>
      <c r="S29" s="50"/>
      <c r="T29" s="50"/>
      <c r="U29" s="50"/>
      <c r="V29" s="50"/>
      <c r="W29" s="50"/>
      <c r="X29" s="50"/>
      <c r="Y29" s="50"/>
      <c r="Z29" s="50"/>
    </row>
    <row r="30">
      <c r="A30" s="53" t="str">
        <f t="shared" si="1"/>
        <v>AO-03-TC-28</v>
      </c>
      <c r="B30" s="142" t="s">
        <v>1496</v>
      </c>
      <c r="C30" s="54" t="s">
        <v>1434</v>
      </c>
      <c r="D30" s="54" t="s">
        <v>1497</v>
      </c>
      <c r="E30" s="55" t="s">
        <v>1455</v>
      </c>
      <c r="F30" s="55" t="s">
        <v>50</v>
      </c>
      <c r="G30" s="144"/>
      <c r="H30" s="50"/>
      <c r="I30" s="50"/>
      <c r="J30" s="50"/>
      <c r="K30" s="50"/>
      <c r="L30" s="50"/>
      <c r="M30" s="50"/>
      <c r="N30" s="50"/>
      <c r="O30" s="50"/>
      <c r="P30" s="50"/>
      <c r="Q30" s="50"/>
      <c r="R30" s="50"/>
      <c r="S30" s="50"/>
      <c r="T30" s="50"/>
      <c r="U30" s="50"/>
      <c r="V30" s="50"/>
      <c r="W30" s="50"/>
      <c r="X30" s="50"/>
      <c r="Y30" s="50"/>
      <c r="Z30" s="50"/>
    </row>
    <row r="31">
      <c r="A31" s="53" t="str">
        <f t="shared" si="1"/>
        <v>AO-03-TC-29</v>
      </c>
      <c r="B31" s="53" t="s">
        <v>1498</v>
      </c>
      <c r="C31" s="54" t="s">
        <v>1434</v>
      </c>
      <c r="D31" s="54" t="s">
        <v>1499</v>
      </c>
      <c r="E31" s="55" t="s">
        <v>1455</v>
      </c>
      <c r="F31" s="55" t="s">
        <v>50</v>
      </c>
      <c r="G31" s="56"/>
      <c r="H31" s="50"/>
      <c r="I31" s="50"/>
      <c r="J31" s="50"/>
      <c r="K31" s="50"/>
      <c r="L31" s="50"/>
      <c r="M31" s="50"/>
      <c r="N31" s="50"/>
      <c r="O31" s="50"/>
      <c r="P31" s="50"/>
      <c r="Q31" s="50"/>
      <c r="R31" s="50"/>
      <c r="S31" s="50"/>
      <c r="T31" s="50"/>
      <c r="U31" s="50"/>
      <c r="V31" s="50"/>
      <c r="W31" s="50"/>
      <c r="X31" s="50"/>
      <c r="Y31" s="50"/>
      <c r="Z31" s="50"/>
    </row>
    <row r="32">
      <c r="A32" s="53"/>
      <c r="B32" s="53"/>
      <c r="C32" s="54"/>
      <c r="D32" s="62"/>
      <c r="E32" s="55"/>
      <c r="F32" s="55"/>
      <c r="G32" s="56"/>
      <c r="H32" s="50"/>
      <c r="I32" s="50"/>
      <c r="J32" s="50"/>
      <c r="K32" s="50"/>
      <c r="L32" s="50"/>
      <c r="M32" s="50"/>
      <c r="N32" s="50"/>
      <c r="O32" s="50"/>
      <c r="P32" s="50"/>
      <c r="Q32" s="50"/>
      <c r="R32" s="50"/>
      <c r="S32" s="50"/>
      <c r="T32" s="50"/>
      <c r="U32" s="50"/>
      <c r="V32" s="50"/>
      <c r="W32" s="50"/>
      <c r="X32" s="50"/>
      <c r="Y32" s="50"/>
      <c r="Z32" s="50"/>
    </row>
    <row r="33">
      <c r="A33" s="53"/>
      <c r="B33" s="53"/>
      <c r="C33" s="54"/>
      <c r="D33" s="62"/>
      <c r="E33" s="55"/>
      <c r="F33" s="55"/>
      <c r="G33" s="56"/>
      <c r="H33" s="50"/>
      <c r="I33" s="50"/>
      <c r="J33" s="50"/>
      <c r="K33" s="50"/>
      <c r="L33" s="50"/>
      <c r="M33" s="50"/>
      <c r="N33" s="50"/>
      <c r="O33" s="50"/>
      <c r="P33" s="50"/>
      <c r="Q33" s="50"/>
      <c r="R33" s="50"/>
      <c r="S33" s="50"/>
      <c r="T33" s="50"/>
      <c r="U33" s="50"/>
      <c r="V33" s="50"/>
      <c r="W33" s="50"/>
      <c r="X33" s="50"/>
      <c r="Y33" s="50"/>
      <c r="Z33" s="50"/>
    </row>
    <row r="34" ht="231.75" customHeight="1">
      <c r="A34" s="53"/>
      <c r="B34" s="53"/>
      <c r="C34" s="54"/>
      <c r="D34" s="62"/>
      <c r="E34" s="55"/>
      <c r="F34" s="55"/>
      <c r="G34" s="56"/>
      <c r="H34" s="50"/>
      <c r="I34" s="50"/>
      <c r="J34" s="50"/>
      <c r="K34" s="50"/>
      <c r="L34" s="50"/>
      <c r="M34" s="50"/>
      <c r="N34" s="50"/>
      <c r="O34" s="50"/>
      <c r="P34" s="50"/>
      <c r="Q34" s="50"/>
      <c r="R34" s="50"/>
      <c r="S34" s="50"/>
      <c r="T34" s="50"/>
      <c r="U34" s="50"/>
      <c r="V34" s="50"/>
      <c r="W34" s="50"/>
      <c r="X34" s="50"/>
      <c r="Y34" s="50"/>
      <c r="Z34" s="50"/>
    </row>
    <row r="35">
      <c r="A35" s="53"/>
      <c r="B35" s="53"/>
      <c r="C35" s="54"/>
      <c r="D35" s="62"/>
      <c r="E35" s="55"/>
      <c r="F35" s="55"/>
      <c r="G35" s="56"/>
      <c r="H35" s="50"/>
      <c r="I35" s="50"/>
      <c r="J35" s="50"/>
      <c r="K35" s="50"/>
      <c r="L35" s="50"/>
      <c r="M35" s="50"/>
      <c r="N35" s="50"/>
      <c r="O35" s="50"/>
      <c r="P35" s="50"/>
      <c r="Q35" s="50"/>
      <c r="R35" s="50"/>
      <c r="S35" s="50"/>
      <c r="T35" s="50"/>
      <c r="U35" s="50"/>
      <c r="V35" s="50"/>
      <c r="W35" s="50"/>
      <c r="X35" s="50"/>
      <c r="Y35" s="50"/>
      <c r="Z35" s="50"/>
    </row>
    <row r="36">
      <c r="A36" s="53"/>
      <c r="B36" s="53"/>
      <c r="C36" s="54"/>
      <c r="D36" s="62"/>
      <c r="E36" s="55"/>
      <c r="F36" s="55"/>
      <c r="G36" s="56"/>
      <c r="H36" s="50"/>
      <c r="I36" s="50"/>
      <c r="J36" s="50"/>
      <c r="K36" s="50"/>
      <c r="L36" s="50"/>
      <c r="M36" s="50"/>
      <c r="N36" s="50"/>
      <c r="O36" s="50"/>
      <c r="P36" s="50"/>
      <c r="Q36" s="50"/>
      <c r="R36" s="50"/>
      <c r="S36" s="50"/>
      <c r="T36" s="50"/>
      <c r="U36" s="50"/>
      <c r="V36" s="50"/>
      <c r="W36" s="50"/>
      <c r="X36" s="50"/>
      <c r="Y36" s="50"/>
      <c r="Z36" s="50"/>
    </row>
    <row r="37">
      <c r="A37" s="53"/>
      <c r="B37" s="53"/>
      <c r="C37" s="54"/>
      <c r="D37" s="62"/>
      <c r="E37" s="55"/>
      <c r="F37" s="55"/>
      <c r="G37" s="56"/>
      <c r="H37" s="50"/>
      <c r="I37" s="50"/>
      <c r="J37" s="50"/>
      <c r="K37" s="50"/>
      <c r="L37" s="50"/>
      <c r="M37" s="50"/>
      <c r="N37" s="50"/>
      <c r="O37" s="50"/>
      <c r="P37" s="50"/>
      <c r="Q37" s="50"/>
      <c r="R37" s="50"/>
      <c r="S37" s="50"/>
      <c r="T37" s="50"/>
      <c r="U37" s="50"/>
      <c r="V37" s="50"/>
      <c r="W37" s="50"/>
      <c r="X37" s="50"/>
      <c r="Y37" s="50"/>
      <c r="Z37" s="50"/>
    </row>
    <row r="38">
      <c r="A38" s="53"/>
      <c r="B38" s="53"/>
      <c r="C38" s="54"/>
      <c r="D38" s="62"/>
      <c r="E38" s="55"/>
      <c r="F38" s="55"/>
      <c r="G38" s="56"/>
      <c r="H38" s="50"/>
      <c r="I38" s="50"/>
      <c r="J38" s="50"/>
      <c r="K38" s="50"/>
      <c r="L38" s="50"/>
      <c r="M38" s="50"/>
      <c r="N38" s="50"/>
      <c r="O38" s="50"/>
      <c r="P38" s="50"/>
      <c r="Q38" s="50"/>
      <c r="R38" s="50"/>
      <c r="S38" s="50"/>
      <c r="T38" s="50"/>
      <c r="U38" s="50"/>
      <c r="V38" s="50"/>
      <c r="W38" s="50"/>
      <c r="X38" s="50"/>
      <c r="Y38" s="50"/>
      <c r="Z38" s="50"/>
    </row>
    <row r="39">
      <c r="A39" s="53"/>
      <c r="B39" s="53"/>
      <c r="C39" s="54"/>
      <c r="D39" s="62"/>
      <c r="E39" s="55"/>
      <c r="F39" s="55"/>
      <c r="G39" s="56"/>
    </row>
    <row r="40">
      <c r="A40" s="53"/>
      <c r="B40" s="53"/>
      <c r="C40" s="54"/>
      <c r="D40" s="62"/>
      <c r="E40" s="55"/>
      <c r="F40" s="55"/>
      <c r="G40" s="56"/>
    </row>
    <row r="41">
      <c r="A41" s="53"/>
      <c r="B41" s="53"/>
      <c r="C41" s="54"/>
      <c r="D41" s="62"/>
      <c r="E41" s="55"/>
      <c r="F41" s="55"/>
      <c r="G41" s="56"/>
    </row>
    <row r="42">
      <c r="A42" s="53"/>
      <c r="B42" s="53"/>
      <c r="C42" s="54"/>
      <c r="D42" s="62"/>
      <c r="E42" s="55"/>
      <c r="F42" s="55"/>
      <c r="G42" s="56"/>
    </row>
    <row r="43">
      <c r="A43" s="53"/>
      <c r="B43" s="53"/>
      <c r="C43" s="54"/>
      <c r="D43" s="62"/>
      <c r="E43" s="55"/>
      <c r="F43" s="55"/>
      <c r="G43" s="56"/>
    </row>
    <row r="44">
      <c r="A44" s="53"/>
      <c r="B44" s="53"/>
      <c r="C44" s="54"/>
      <c r="D44" s="62"/>
      <c r="E44" s="55"/>
      <c r="F44" s="55"/>
      <c r="G44" s="56"/>
    </row>
    <row r="45">
      <c r="A45" s="53"/>
      <c r="B45" s="53"/>
      <c r="C45" s="54"/>
      <c r="D45" s="62"/>
      <c r="E45" s="55"/>
      <c r="F45" s="55"/>
      <c r="G45" s="56"/>
    </row>
    <row r="46">
      <c r="A46" s="53"/>
      <c r="B46" s="64"/>
      <c r="C46" s="54"/>
      <c r="D46" s="62"/>
      <c r="E46" s="55"/>
      <c r="F46" s="55"/>
      <c r="G46" s="56"/>
    </row>
    <row r="47">
      <c r="A47" s="53"/>
      <c r="B47" s="53"/>
      <c r="C47" s="54"/>
      <c r="D47" s="62"/>
      <c r="E47" s="55"/>
      <c r="F47" s="55"/>
      <c r="G47" s="56"/>
    </row>
    <row r="48">
      <c r="A48" s="53"/>
      <c r="B48" s="64"/>
      <c r="C48" s="54"/>
      <c r="D48" s="62"/>
      <c r="E48" s="55"/>
      <c r="F48" s="55"/>
      <c r="G48" s="56"/>
    </row>
    <row r="49">
      <c r="A49" s="53"/>
      <c r="B49" s="53"/>
      <c r="C49" s="54"/>
      <c r="D49" s="62"/>
      <c r="E49" s="55"/>
      <c r="F49" s="55"/>
      <c r="G49" s="56"/>
    </row>
    <row r="50">
      <c r="A50" s="53"/>
      <c r="B50" s="53"/>
      <c r="C50" s="54"/>
      <c r="D50" s="62"/>
      <c r="E50" s="55"/>
      <c r="F50" s="55"/>
      <c r="G50" s="56"/>
    </row>
    <row r="51">
      <c r="A51" s="53"/>
      <c r="B51" s="53"/>
      <c r="C51" s="54"/>
      <c r="D51" s="62"/>
      <c r="E51" s="55"/>
      <c r="F51" s="55"/>
      <c r="G51" s="56"/>
    </row>
    <row r="52">
      <c r="A52" s="53"/>
      <c r="B52" s="53"/>
      <c r="C52" s="54"/>
      <c r="D52" s="62"/>
      <c r="E52" s="55"/>
      <c r="F52" s="55"/>
      <c r="G52" s="56"/>
    </row>
    <row r="53">
      <c r="A53" s="53"/>
      <c r="B53" s="53"/>
      <c r="C53" s="54"/>
      <c r="D53" s="62"/>
      <c r="E53" s="55"/>
      <c r="F53" s="55"/>
      <c r="G53" s="56"/>
    </row>
    <row r="54">
      <c r="A54" s="53"/>
      <c r="B54" s="53"/>
      <c r="C54" s="54"/>
      <c r="D54" s="62"/>
      <c r="E54" s="55"/>
      <c r="F54" s="55"/>
      <c r="G54" s="56"/>
    </row>
    <row r="55">
      <c r="A55" s="53"/>
      <c r="B55" s="53"/>
      <c r="C55" s="54"/>
      <c r="D55" s="62"/>
      <c r="E55" s="55"/>
      <c r="F55" s="55"/>
      <c r="G55" s="56"/>
    </row>
    <row r="56">
      <c r="A56" s="53"/>
      <c r="B56" s="53"/>
      <c r="C56" s="54"/>
      <c r="D56" s="62"/>
      <c r="E56" s="55"/>
      <c r="F56" s="55"/>
      <c r="G56" s="56"/>
    </row>
    <row r="57">
      <c r="A57" s="53"/>
      <c r="B57" s="53"/>
      <c r="C57" s="54"/>
      <c r="D57" s="62"/>
      <c r="E57" s="55"/>
      <c r="F57" s="55"/>
      <c r="G57" s="56"/>
    </row>
    <row r="58">
      <c r="A58" s="53"/>
      <c r="B58" s="53"/>
      <c r="C58" s="54"/>
      <c r="D58" s="62"/>
      <c r="E58" s="55"/>
      <c r="F58" s="55"/>
      <c r="G58" s="56"/>
    </row>
    <row r="59">
      <c r="A59" s="53"/>
      <c r="B59" s="64"/>
      <c r="C59" s="54"/>
      <c r="D59" s="62"/>
      <c r="E59" s="55"/>
      <c r="F59" s="55"/>
      <c r="G59" s="56"/>
    </row>
    <row r="60">
      <c r="A60" s="53"/>
      <c r="B60" s="53"/>
      <c r="C60" s="54"/>
      <c r="D60" s="62"/>
      <c r="E60" s="55"/>
      <c r="F60" s="55"/>
      <c r="G60" s="56"/>
    </row>
    <row r="61">
      <c r="A61" s="53"/>
      <c r="B61" s="53"/>
      <c r="C61" s="54"/>
      <c r="D61" s="62"/>
      <c r="E61" s="55"/>
      <c r="F61" s="55"/>
      <c r="G61" s="56"/>
    </row>
    <row r="62">
      <c r="A62" s="53"/>
      <c r="B62" s="53"/>
      <c r="C62" s="54"/>
      <c r="D62" s="62"/>
      <c r="E62" s="55"/>
      <c r="F62" s="55"/>
      <c r="G62" s="56"/>
    </row>
    <row r="63">
      <c r="A63" s="53"/>
      <c r="B63" s="53"/>
      <c r="C63" s="54"/>
      <c r="D63" s="62"/>
      <c r="E63" s="55"/>
      <c r="F63" s="55"/>
      <c r="G63" s="56"/>
    </row>
    <row r="64">
      <c r="A64" s="53"/>
      <c r="B64" s="53"/>
      <c r="C64" s="54"/>
      <c r="D64" s="62"/>
      <c r="E64" s="55"/>
      <c r="F64" s="55"/>
      <c r="G64" s="56"/>
    </row>
    <row r="65">
      <c r="A65" s="53"/>
      <c r="B65" s="53"/>
      <c r="C65" s="54"/>
      <c r="D65" s="62"/>
      <c r="E65" s="55"/>
      <c r="F65" s="55"/>
      <c r="G65" s="56"/>
    </row>
    <row r="66">
      <c r="A66" s="53"/>
      <c r="B66" s="53"/>
      <c r="C66" s="54"/>
      <c r="D66" s="62"/>
      <c r="E66" s="55"/>
      <c r="F66" s="55"/>
      <c r="G66" s="56"/>
    </row>
    <row r="67">
      <c r="A67" s="53"/>
      <c r="B67" s="53"/>
      <c r="C67" s="54"/>
      <c r="D67" s="62"/>
      <c r="E67" s="55"/>
      <c r="F67" s="55"/>
      <c r="G67" s="56"/>
    </row>
    <row r="68">
      <c r="A68" s="53"/>
      <c r="B68" s="53"/>
      <c r="C68" s="54"/>
      <c r="D68" s="62"/>
      <c r="E68" s="55"/>
      <c r="F68" s="55"/>
      <c r="G68" s="56"/>
    </row>
    <row r="69">
      <c r="A69" s="53"/>
      <c r="B69" s="53"/>
      <c r="C69" s="54"/>
      <c r="D69" s="62"/>
      <c r="E69" s="55"/>
      <c r="F69" s="55"/>
      <c r="G69" s="56"/>
    </row>
    <row r="70">
      <c r="A70" s="53"/>
      <c r="B70" s="53"/>
      <c r="C70" s="54"/>
      <c r="D70" s="62"/>
      <c r="E70" s="55"/>
      <c r="F70" s="55"/>
      <c r="G70" s="56"/>
    </row>
  </sheetData>
  <dataValidations>
    <dataValidation type="list" allowBlank="1" sqref="F3:F31">
      <formula1>"OPEN,BLOCKED,PASSED,FAILED"</formula1>
    </dataValidation>
  </dataValidations>
  <drawing r:id="rId1"/>
</worksheet>
</file>